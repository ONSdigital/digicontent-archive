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mB\Projects\LTS\small-multiple-line\"/>
    </mc:Choice>
  </mc:AlternateContent>
  <xr:revisionPtr revIDLastSave="0" documentId="13_ncr:1_{93E62D42-0D30-47D6-B504-2B8EB984DBCC}" xr6:coauthVersionLast="47" xr6:coauthVersionMax="47" xr10:uidLastSave="{00000000-0000-0000-0000-000000000000}"/>
  <bookViews>
    <workbookView xWindow="-120" yWindow="-120" windowWidth="29040" windowHeight="15840" activeTab="1" xr2:uid="{332C266B-5782-4BA6-824F-C52843A177F3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</calcChain>
</file>

<file path=xl/sharedStrings.xml><?xml version="1.0" encoding="utf-8"?>
<sst xmlns="http://schemas.openxmlformats.org/spreadsheetml/2006/main" count="210" uniqueCount="40">
  <si>
    <t>Mental illness,phobia,panics</t>
  </si>
  <si>
    <t>Depression,bad nerves</t>
  </si>
  <si>
    <t>Other problems,disabilities</t>
  </si>
  <si>
    <t>Back or neck</t>
  </si>
  <si>
    <t>Progressive illness n.e.c.</t>
  </si>
  <si>
    <t>Autism</t>
  </si>
  <si>
    <t>Legs, feet</t>
  </si>
  <si>
    <t>Heart,blood,pressure,circulation</t>
  </si>
  <si>
    <t>Learning difficulties</t>
  </si>
  <si>
    <t>Arms, hands</t>
  </si>
  <si>
    <t>Chest,breathing problems</t>
  </si>
  <si>
    <t>Stomach,liver,kidney,digestion</t>
  </si>
  <si>
    <t>Diabetes</t>
  </si>
  <si>
    <t>Epilepsy</t>
  </si>
  <si>
    <t>Difficulty in seeing</t>
  </si>
  <si>
    <t>Skin conditions,allergies</t>
  </si>
  <si>
    <t>Difficulty in hearing</t>
  </si>
  <si>
    <t>Speech impediment</t>
  </si>
  <si>
    <t>AJ22</t>
  </si>
  <si>
    <t>AJ21</t>
  </si>
  <si>
    <t>AJ20</t>
  </si>
  <si>
    <t>AJ19</t>
  </si>
  <si>
    <t>Age</t>
  </si>
  <si>
    <t>All</t>
  </si>
  <si>
    <t>Autism (including autism spectrum condition, Asperger syndrome)</t>
  </si>
  <si>
    <t>Mental illness or suffer from phobias, panics or other nervous disorders</t>
  </si>
  <si>
    <t>Depression, bad nerves or anxiety</t>
  </si>
  <si>
    <t>Other health problems or disabilities</t>
  </si>
  <si>
    <t>Severe or specific learning difficulties</t>
  </si>
  <si>
    <t>Progressive illness not included elsewhere (e.g. cancer)</t>
  </si>
  <si>
    <t>Problems or disabilities connected with back or neck</t>
  </si>
  <si>
    <t>Problems or disabilities connected with legs or feet</t>
  </si>
  <si>
    <t>Problems or disabilities connected with arms or hands</t>
  </si>
  <si>
    <t>Heart, blood pressure or blood circulation problems</t>
  </si>
  <si>
    <t>Stomach, liver, kidney or digestive problems</t>
  </si>
  <si>
    <t>Chest or breathing problems, asthma, bronchitis</t>
  </si>
  <si>
    <t>Severe disfigurements, skin conditions, allergies</t>
  </si>
  <si>
    <t>16-34</t>
  </si>
  <si>
    <t>35-49</t>
  </si>
  <si>
    <t>50-64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</si>
</sst>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1A5B"/>
      <color rgb="FF206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7423820867657"/>
          <c:y val="0.11290715372907154"/>
          <c:w val="0.62984100428554979"/>
          <c:h val="0.816474070878126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06095"/>
            </a:solidFill>
            <a:ln>
              <a:noFill/>
            </a:ln>
            <a:effectLst/>
          </c:spPr>
          <c:invertIfNegative val="0"/>
          <c:cat>
            <c:strRef>
              <c:f>Sheet2!$C$1:$F$1</c:f>
              <c:strCache>
                <c:ptCount val="4"/>
                <c:pt idx="0">
                  <c:v>AJ19</c:v>
                </c:pt>
                <c:pt idx="1">
                  <c:v>AJ20</c:v>
                </c:pt>
                <c:pt idx="2">
                  <c:v>AJ21</c:v>
                </c:pt>
                <c:pt idx="3">
                  <c:v>AJ22</c:v>
                </c:pt>
              </c:strCache>
            </c:strRef>
          </c:cat>
          <c:val>
            <c:numRef>
              <c:f>Sheet2!$C$2:$F$2</c:f>
              <c:numCache>
                <c:formatCode>General</c:formatCode>
                <c:ptCount val="4"/>
                <c:pt idx="0">
                  <c:v>239364</c:v>
                </c:pt>
                <c:pt idx="1">
                  <c:v>304509</c:v>
                </c:pt>
                <c:pt idx="2">
                  <c:v>298490</c:v>
                </c:pt>
                <c:pt idx="3">
                  <c:v>336556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8-4440-A739-BA7E5B24A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516341136"/>
        <c:axId val="798969232"/>
      </c:barChart>
      <c:catAx>
        <c:axId val="51634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69232"/>
        <c:crosses val="autoZero"/>
        <c:auto val="1"/>
        <c:lblAlgn val="ctr"/>
        <c:lblOffset val="100"/>
        <c:noMultiLvlLbl val="0"/>
      </c:catAx>
      <c:valAx>
        <c:axId val="798969232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41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Mental Illness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147876676705733E-2"/>
          <c:y val="0.10681887366818874"/>
          <c:w val="0.64298269167966904"/>
          <c:h val="0.816474070878126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71A5B"/>
            </a:solidFill>
            <a:ln>
              <a:noFill/>
            </a:ln>
            <a:effectLst/>
          </c:spPr>
          <c:invertIfNegative val="0"/>
          <c:cat>
            <c:strRef>
              <c:f>Sheet2!$C$1:$F$1</c:f>
              <c:strCache>
                <c:ptCount val="4"/>
                <c:pt idx="0">
                  <c:v>AJ19</c:v>
                </c:pt>
                <c:pt idx="1">
                  <c:v>AJ20</c:v>
                </c:pt>
                <c:pt idx="2">
                  <c:v>AJ21</c:v>
                </c:pt>
                <c:pt idx="3">
                  <c:v>AJ22</c:v>
                </c:pt>
              </c:strCache>
            </c:strRef>
          </c:cat>
          <c:val>
            <c:numRef>
              <c:f>Sheet2!$C$3:$F$3</c:f>
              <c:numCache>
                <c:formatCode>General</c:formatCode>
                <c:ptCount val="4"/>
                <c:pt idx="0">
                  <c:v>256692</c:v>
                </c:pt>
                <c:pt idx="1">
                  <c:v>253146</c:v>
                </c:pt>
                <c:pt idx="2">
                  <c:v>278689</c:v>
                </c:pt>
                <c:pt idx="3">
                  <c:v>312977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D-456F-96CB-0FC34434A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516341136"/>
        <c:axId val="798969232"/>
      </c:barChart>
      <c:catAx>
        <c:axId val="51634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69232"/>
        <c:crosses val="autoZero"/>
        <c:auto val="1"/>
        <c:lblAlgn val="ctr"/>
        <c:lblOffset val="100"/>
        <c:noMultiLvlLbl val="0"/>
      </c:catAx>
      <c:valAx>
        <c:axId val="798969232"/>
        <c:scaling>
          <c:orientation val="minMax"/>
          <c:max val="4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6341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5</xdr:row>
      <xdr:rowOff>104775</xdr:rowOff>
    </xdr:from>
    <xdr:to>
      <xdr:col>13</xdr:col>
      <xdr:colOff>57150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20EDF-E79D-42D3-BDDA-E4D5B892F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5</xdr:row>
      <xdr:rowOff>123825</xdr:rowOff>
    </xdr:from>
    <xdr:to>
      <xdr:col>18</xdr:col>
      <xdr:colOff>438150</xdr:colOff>
      <xdr:row>27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FD316-13BB-4685-B617-3162AFCE9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514350</xdr:colOff>
      <xdr:row>10</xdr:row>
      <xdr:rowOff>161925</xdr:rowOff>
    </xdr:from>
    <xdr:to>
      <xdr:col>12</xdr:col>
      <xdr:colOff>76200</xdr:colOff>
      <xdr:row>10</xdr:row>
      <xdr:rowOff>161925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7A3430C-172D-4AA4-94F8-0B0AF6AAF7BB}"/>
            </a:ext>
          </a:extLst>
        </xdr:cNvPr>
        <xdr:cNvCxnSpPr/>
      </xdr:nvCxnSpPr>
      <xdr:spPr>
        <a:xfrm>
          <a:off x="12963525" y="2066925"/>
          <a:ext cx="323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523875</xdr:colOff>
      <xdr:row>15</xdr:row>
      <xdr:rowOff>38100</xdr:rowOff>
    </xdr:from>
    <xdr:to>
      <xdr:col>11</xdr:col>
      <xdr:colOff>714375</xdr:colOff>
      <xdr:row>15</xdr:row>
      <xdr:rowOff>38100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90727A-5A24-4586-808A-6A79B63C35DC}"/>
            </a:ext>
          </a:extLst>
        </xdr:cNvPr>
        <xdr:cNvCxnSpPr/>
      </xdr:nvCxnSpPr>
      <xdr:spPr>
        <a:xfrm>
          <a:off x="12973050" y="2895600"/>
          <a:ext cx="190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704850</xdr:colOff>
      <xdr:row>10</xdr:row>
      <xdr:rowOff>171450</xdr:rowOff>
    </xdr:from>
    <xdr:to>
      <xdr:col>11</xdr:col>
      <xdr:colOff>714375</xdr:colOff>
      <xdr:row>15</xdr:row>
      <xdr:rowOff>38100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AC82D1-F858-49B3-A638-D1594773EADC}"/>
            </a:ext>
          </a:extLst>
        </xdr:cNvPr>
        <xdr:cNvCxnSpPr/>
      </xdr:nvCxnSpPr>
      <xdr:spPr>
        <a:xfrm>
          <a:off x="13154025" y="2076450"/>
          <a:ext cx="9525" cy="819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95250</xdr:colOff>
      <xdr:row>10</xdr:row>
      <xdr:rowOff>28575</xdr:rowOff>
    </xdr:from>
    <xdr:ext cx="666749" cy="436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80DB523-0C79-484E-B808-E75DEC60CF6E}"/>
            </a:ext>
          </a:extLst>
        </xdr:cNvPr>
        <xdr:cNvSpPr txBox="1"/>
      </xdr:nvSpPr>
      <xdr:spPr>
        <a:xfrm>
          <a:off x="13306425" y="1933575"/>
          <a:ext cx="6667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/>
            <a:t>Increase of</a:t>
          </a:r>
          <a:r>
            <a:rPr lang="en-GB" sz="1100" baseline="0"/>
            <a:t> 40%</a:t>
          </a:r>
          <a:endParaRPr lang="en-GB" sz="1100"/>
        </a:p>
      </xdr:txBody>
    </xdr:sp>
    <xdr:clientData/>
  </xdr:oneCellAnchor>
  <xdr:twoCellAnchor>
    <xdr:from>
      <xdr:col>16</xdr:col>
      <xdr:colOff>638175</xdr:colOff>
      <xdr:row>11</xdr:row>
      <xdr:rowOff>180975</xdr:rowOff>
    </xdr:from>
    <xdr:to>
      <xdr:col>17</xdr:col>
      <xdr:colOff>200025</xdr:colOff>
      <xdr:row>11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62578D6-F75C-4E4F-A087-4AE1754816A8}"/>
            </a:ext>
          </a:extLst>
        </xdr:cNvPr>
        <xdr:cNvCxnSpPr/>
      </xdr:nvCxnSpPr>
      <xdr:spPr>
        <a:xfrm>
          <a:off x="16897350" y="2276475"/>
          <a:ext cx="323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647700</xdr:colOff>
      <xdr:row>14</xdr:row>
      <xdr:rowOff>114300</xdr:rowOff>
    </xdr:from>
    <xdr:to>
      <xdr:col>17</xdr:col>
      <xdr:colOff>76200</xdr:colOff>
      <xdr:row>14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359CE81-C4D4-4BAE-99A4-40F164745FB2}"/>
            </a:ext>
          </a:extLst>
        </xdr:cNvPr>
        <xdr:cNvCxnSpPr/>
      </xdr:nvCxnSpPr>
      <xdr:spPr>
        <a:xfrm>
          <a:off x="16906875" y="2781300"/>
          <a:ext cx="190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66675</xdr:colOff>
      <xdr:row>12</xdr:row>
      <xdr:rowOff>0</xdr:rowOff>
    </xdr:from>
    <xdr:to>
      <xdr:col>17</xdr:col>
      <xdr:colOff>76200</xdr:colOff>
      <xdr:row>14</xdr:row>
      <xdr:rowOff>114300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CC5002B-EF7C-499F-95A9-B0F34C879583}"/>
            </a:ext>
          </a:extLst>
        </xdr:cNvPr>
        <xdr:cNvCxnSpPr/>
      </xdr:nvCxnSpPr>
      <xdr:spPr>
        <a:xfrm>
          <a:off x="17087850" y="2286000"/>
          <a:ext cx="9525" cy="495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180975</xdr:colOff>
      <xdr:row>10</xdr:row>
      <xdr:rowOff>171450</xdr:rowOff>
    </xdr:from>
    <xdr:ext cx="666749" cy="43678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9B03EEB-0D39-4346-B3EC-D79C44ECE0E5}"/>
            </a:ext>
          </a:extLst>
        </xdr:cNvPr>
        <xdr:cNvSpPr txBox="1"/>
      </xdr:nvSpPr>
      <xdr:spPr>
        <a:xfrm>
          <a:off x="17202150" y="2076450"/>
          <a:ext cx="6667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/>
            <a:t>Increase of</a:t>
          </a:r>
          <a:r>
            <a:rPr lang="en-GB" sz="1100" baseline="0"/>
            <a:t> 21%</a:t>
          </a:r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A2" t="str">
            <v>Other health problems or disabilities</v>
          </cell>
          <cell r="B2">
            <v>1</v>
          </cell>
        </row>
        <row r="3">
          <cell r="A3" t="str">
            <v>Mental illness or suffer from phobias, panics or other nervous disorders</v>
          </cell>
          <cell r="B3">
            <v>1</v>
          </cell>
        </row>
        <row r="4">
          <cell r="A4" t="str">
            <v>Depression, bad nerves or anxiety</v>
          </cell>
          <cell r="B4">
            <v>1</v>
          </cell>
        </row>
        <row r="5">
          <cell r="A5" t="str">
            <v>Problems or disabilities connected with back or neck</v>
          </cell>
          <cell r="B5">
            <v>1</v>
          </cell>
        </row>
        <row r="6">
          <cell r="A6" t="str">
            <v>Progressive illness not included elsewhere (e.g. cancer)</v>
          </cell>
          <cell r="B6">
            <v>1</v>
          </cell>
        </row>
        <row r="7">
          <cell r="A7" t="str">
            <v>Problems or disabilities connected with legs or feet</v>
          </cell>
          <cell r="B7">
            <v>1</v>
          </cell>
        </row>
        <row r="8">
          <cell r="A8" t="str">
            <v>Heart, blood pressure or blood circulation problems</v>
          </cell>
          <cell r="B8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823A-B125-4916-A51D-1BF393550208}">
  <sheetPr filterMode="1"/>
  <dimension ref="A1:G73"/>
  <sheetViews>
    <sheetView workbookViewId="0">
      <selection activeCell="A79" sqref="A79"/>
    </sheetView>
  </sheetViews>
  <sheetFormatPr defaultRowHeight="15" x14ac:dyDescent="0.2"/>
  <cols>
    <col min="1" max="1" width="56.33203125" bestFit="1" customWidth="1"/>
  </cols>
  <sheetData>
    <row r="1" spans="1:7" x14ac:dyDescent="0.2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7" x14ac:dyDescent="0.2">
      <c r="A2" t="s">
        <v>2</v>
      </c>
      <c r="B2">
        <v>336556</v>
      </c>
      <c r="C2">
        <v>298490</v>
      </c>
      <c r="D2">
        <v>304509</v>
      </c>
      <c r="E2">
        <v>239364</v>
      </c>
      <c r="F2" t="s">
        <v>23</v>
      </c>
      <c r="G2">
        <v>1</v>
      </c>
    </row>
    <row r="3" spans="1:7" x14ac:dyDescent="0.2">
      <c r="A3" t="s">
        <v>0</v>
      </c>
      <c r="B3">
        <v>312977</v>
      </c>
      <c r="C3">
        <v>278689</v>
      </c>
      <c r="D3">
        <v>253146</v>
      </c>
      <c r="E3">
        <v>256692</v>
      </c>
      <c r="F3" t="s">
        <v>23</v>
      </c>
      <c r="G3">
        <v>1</v>
      </c>
    </row>
    <row r="4" spans="1:7" x14ac:dyDescent="0.2">
      <c r="A4" t="s">
        <v>1</v>
      </c>
      <c r="B4">
        <v>281850</v>
      </c>
      <c r="C4">
        <v>314861</v>
      </c>
      <c r="D4">
        <v>306066</v>
      </c>
      <c r="E4">
        <v>283245</v>
      </c>
      <c r="F4" t="s">
        <v>23</v>
      </c>
      <c r="G4">
        <v>1</v>
      </c>
    </row>
    <row r="5" spans="1:7" x14ac:dyDescent="0.2">
      <c r="A5" t="s">
        <v>3</v>
      </c>
      <c r="B5">
        <v>262272</v>
      </c>
      <c r="C5">
        <v>228878</v>
      </c>
      <c r="D5">
        <v>225952</v>
      </c>
      <c r="E5">
        <v>200353</v>
      </c>
      <c r="F5" t="s">
        <v>23</v>
      </c>
      <c r="G5">
        <v>1</v>
      </c>
    </row>
    <row r="6" spans="1:7" x14ac:dyDescent="0.2">
      <c r="A6" t="s">
        <v>4</v>
      </c>
      <c r="B6">
        <v>213146</v>
      </c>
      <c r="C6">
        <v>183014</v>
      </c>
      <c r="D6">
        <v>209766</v>
      </c>
      <c r="E6">
        <v>211095</v>
      </c>
      <c r="F6" t="s">
        <v>23</v>
      </c>
      <c r="G6">
        <v>1</v>
      </c>
    </row>
    <row r="7" spans="1:7" x14ac:dyDescent="0.2">
      <c r="A7" t="s">
        <v>6</v>
      </c>
      <c r="B7">
        <v>185480</v>
      </c>
      <c r="C7">
        <v>180854</v>
      </c>
      <c r="D7">
        <v>166773</v>
      </c>
      <c r="E7">
        <v>154464</v>
      </c>
      <c r="F7" t="s">
        <v>23</v>
      </c>
      <c r="G7">
        <v>1</v>
      </c>
    </row>
    <row r="8" spans="1:7" hidden="1" x14ac:dyDescent="0.2">
      <c r="A8" t="s">
        <v>5</v>
      </c>
      <c r="B8">
        <v>121401</v>
      </c>
      <c r="C8">
        <v>71041</v>
      </c>
      <c r="D8">
        <v>65586</v>
      </c>
      <c r="E8">
        <v>0</v>
      </c>
      <c r="F8" t="s">
        <v>23</v>
      </c>
      <c r="G8" t="e">
        <f>VLOOKUP(A8,[1]Sheet1!$A:$B,2,FALSE)</f>
        <v>#N/A</v>
      </c>
    </row>
    <row r="9" spans="1:7" x14ac:dyDescent="0.2">
      <c r="A9" t="s">
        <v>7</v>
      </c>
      <c r="B9">
        <v>109764</v>
      </c>
      <c r="C9">
        <v>91732</v>
      </c>
      <c r="D9">
        <v>75037</v>
      </c>
      <c r="E9">
        <v>93138</v>
      </c>
      <c r="F9" t="s">
        <v>23</v>
      </c>
      <c r="G9">
        <v>1</v>
      </c>
    </row>
    <row r="10" spans="1:7" hidden="1" x14ac:dyDescent="0.2">
      <c r="A10" t="s">
        <v>9</v>
      </c>
      <c r="B10">
        <v>108983</v>
      </c>
      <c r="C10">
        <v>94147</v>
      </c>
      <c r="D10">
        <v>108504</v>
      </c>
      <c r="E10">
        <v>110219</v>
      </c>
      <c r="F10" t="s">
        <v>23</v>
      </c>
      <c r="G10" t="e">
        <f>VLOOKUP(A10,[1]Sheet1!$A:$B,2,FALSE)</f>
        <v>#N/A</v>
      </c>
    </row>
    <row r="11" spans="1:7" hidden="1" x14ac:dyDescent="0.2">
      <c r="A11" t="s">
        <v>10</v>
      </c>
      <c r="B11">
        <v>102615</v>
      </c>
      <c r="C11">
        <v>115402</v>
      </c>
      <c r="D11">
        <v>110097</v>
      </c>
      <c r="E11">
        <v>92549</v>
      </c>
      <c r="F11" t="s">
        <v>23</v>
      </c>
      <c r="G11" t="e">
        <f>VLOOKUP(A11,[1]Sheet1!$A:$B,2,FALSE)</f>
        <v>#N/A</v>
      </c>
    </row>
    <row r="12" spans="1:7" hidden="1" x14ac:dyDescent="0.2">
      <c r="A12" t="s">
        <v>8</v>
      </c>
      <c r="B12">
        <v>82125</v>
      </c>
      <c r="C12">
        <v>76326</v>
      </c>
      <c r="D12">
        <v>81133</v>
      </c>
      <c r="E12">
        <v>107505</v>
      </c>
      <c r="F12" t="s">
        <v>23</v>
      </c>
      <c r="G12" t="e">
        <f>VLOOKUP(A12,[1]Sheet1!$A:$B,2,FALSE)</f>
        <v>#N/A</v>
      </c>
    </row>
    <row r="13" spans="1:7" hidden="1" x14ac:dyDescent="0.2">
      <c r="A13" t="s">
        <v>11</v>
      </c>
      <c r="B13">
        <v>76866</v>
      </c>
      <c r="C13">
        <v>58287</v>
      </c>
      <c r="D13">
        <v>65159</v>
      </c>
      <c r="E13">
        <v>76099</v>
      </c>
      <c r="F13" t="s">
        <v>23</v>
      </c>
      <c r="G13" t="e">
        <f>VLOOKUP(A13,[1]Sheet1!$A:$B,2,FALSE)</f>
        <v>#N/A</v>
      </c>
    </row>
    <row r="14" spans="1:7" hidden="1" x14ac:dyDescent="0.2">
      <c r="A14" t="s">
        <v>13</v>
      </c>
      <c r="B14">
        <v>46378</v>
      </c>
      <c r="C14">
        <v>49211</v>
      </c>
      <c r="D14">
        <v>38773</v>
      </c>
      <c r="E14">
        <v>51993</v>
      </c>
      <c r="F14" t="s">
        <v>23</v>
      </c>
      <c r="G14" t="e">
        <f>VLOOKUP(A14,[1]Sheet1!$A:$B,2,FALSE)</f>
        <v>#N/A</v>
      </c>
    </row>
    <row r="15" spans="1:7" hidden="1" x14ac:dyDescent="0.2">
      <c r="A15" t="s">
        <v>12</v>
      </c>
      <c r="B15">
        <v>38036</v>
      </c>
      <c r="C15">
        <v>49349</v>
      </c>
      <c r="D15">
        <v>29737</v>
      </c>
      <c r="E15">
        <v>38830</v>
      </c>
      <c r="F15" t="s">
        <v>23</v>
      </c>
      <c r="G15" t="e">
        <f>VLOOKUP(A15,[1]Sheet1!$A:$B,2,FALSE)</f>
        <v>#N/A</v>
      </c>
    </row>
    <row r="16" spans="1:7" hidden="1" x14ac:dyDescent="0.2">
      <c r="A16" t="s">
        <v>14</v>
      </c>
      <c r="B16">
        <v>32377</v>
      </c>
      <c r="C16">
        <v>37808</v>
      </c>
      <c r="D16">
        <v>23588</v>
      </c>
      <c r="E16">
        <v>20099</v>
      </c>
      <c r="F16" t="s">
        <v>23</v>
      </c>
      <c r="G16" t="e">
        <f>VLOOKUP(A16,[1]Sheet1!$A:$B,2,FALSE)</f>
        <v>#N/A</v>
      </c>
    </row>
    <row r="17" spans="1:7" hidden="1" x14ac:dyDescent="0.2">
      <c r="A17" t="s">
        <v>16</v>
      </c>
      <c r="B17">
        <v>3071</v>
      </c>
      <c r="C17">
        <v>0</v>
      </c>
      <c r="D17">
        <v>3718</v>
      </c>
      <c r="E17">
        <v>8919</v>
      </c>
      <c r="F17" t="s">
        <v>23</v>
      </c>
      <c r="G17" t="e">
        <f>VLOOKUP(A17,[1]Sheet1!$A:$B,2,FALSE)</f>
        <v>#N/A</v>
      </c>
    </row>
    <row r="18" spans="1:7" hidden="1" x14ac:dyDescent="0.2">
      <c r="A18" t="s">
        <v>15</v>
      </c>
      <c r="B18">
        <v>962</v>
      </c>
      <c r="C18">
        <v>5090</v>
      </c>
      <c r="D18">
        <v>0</v>
      </c>
      <c r="E18">
        <v>0</v>
      </c>
      <c r="F18" t="s">
        <v>23</v>
      </c>
      <c r="G18" t="e">
        <f>VLOOKUP(A18,[1]Sheet1!$A:$B,2,FALSE)</f>
        <v>#N/A</v>
      </c>
    </row>
    <row r="19" spans="1:7" hidden="1" x14ac:dyDescent="0.2">
      <c r="A19" t="s">
        <v>17</v>
      </c>
      <c r="B19">
        <v>0</v>
      </c>
      <c r="C19">
        <v>0</v>
      </c>
      <c r="D19">
        <v>0</v>
      </c>
      <c r="E19">
        <v>6640</v>
      </c>
      <c r="F19" t="s">
        <v>23</v>
      </c>
      <c r="G19" t="e">
        <f>VLOOKUP(A19,[1]Sheet1!$A:$B,2,FALSE)</f>
        <v>#N/A</v>
      </c>
    </row>
    <row r="20" spans="1:7" hidden="1" x14ac:dyDescent="0.2">
      <c r="A20" t="s">
        <v>24</v>
      </c>
      <c r="B20">
        <v>99971</v>
      </c>
      <c r="C20">
        <v>60916</v>
      </c>
      <c r="D20">
        <v>53604</v>
      </c>
      <c r="E20">
        <v>0</v>
      </c>
      <c r="F20" t="s">
        <v>37</v>
      </c>
      <c r="G20" t="e">
        <f>VLOOKUP(A20,[1]Sheet1!$A:$B,2,FALSE)</f>
        <v>#N/A</v>
      </c>
    </row>
    <row r="21" spans="1:7" x14ac:dyDescent="0.2">
      <c r="A21" t="s">
        <v>25</v>
      </c>
      <c r="B21">
        <v>99233</v>
      </c>
      <c r="C21">
        <v>73541</v>
      </c>
      <c r="D21">
        <v>80557</v>
      </c>
      <c r="E21">
        <v>79775</v>
      </c>
      <c r="F21" t="s">
        <v>37</v>
      </c>
      <c r="G21">
        <f>VLOOKUP(A21,[1]Sheet1!$A:$B,2,FALSE)</f>
        <v>1</v>
      </c>
    </row>
    <row r="22" spans="1:7" x14ac:dyDescent="0.2">
      <c r="A22" t="s">
        <v>26</v>
      </c>
      <c r="B22">
        <v>97264</v>
      </c>
      <c r="C22">
        <v>68689</v>
      </c>
      <c r="D22">
        <v>101124</v>
      </c>
      <c r="E22">
        <v>86738</v>
      </c>
      <c r="F22" t="s">
        <v>37</v>
      </c>
      <c r="G22">
        <f>VLOOKUP(A22,[1]Sheet1!$A:$B,2,FALSE)</f>
        <v>1</v>
      </c>
    </row>
    <row r="23" spans="1:7" x14ac:dyDescent="0.2">
      <c r="A23" t="s">
        <v>27</v>
      </c>
      <c r="B23">
        <v>63545</v>
      </c>
      <c r="C23">
        <v>59229</v>
      </c>
      <c r="D23">
        <v>51431</v>
      </c>
      <c r="E23">
        <v>57648</v>
      </c>
      <c r="F23" t="s">
        <v>37</v>
      </c>
      <c r="G23">
        <f>VLOOKUP(A23,[1]Sheet1!$A:$B,2,FALSE)</f>
        <v>1</v>
      </c>
    </row>
    <row r="24" spans="1:7" hidden="1" x14ac:dyDescent="0.2">
      <c r="A24" t="s">
        <v>28</v>
      </c>
      <c r="B24">
        <v>47240</v>
      </c>
      <c r="C24">
        <v>41132</v>
      </c>
      <c r="D24">
        <v>43898</v>
      </c>
      <c r="E24">
        <v>62534</v>
      </c>
      <c r="F24" t="s">
        <v>37</v>
      </c>
      <c r="G24" t="e">
        <f>VLOOKUP(A24,[1]Sheet1!$A:$B,2,FALSE)</f>
        <v>#N/A</v>
      </c>
    </row>
    <row r="25" spans="1:7" x14ac:dyDescent="0.2">
      <c r="A25" t="s">
        <v>29</v>
      </c>
      <c r="B25">
        <v>35133</v>
      </c>
      <c r="C25">
        <v>18040</v>
      </c>
      <c r="D25">
        <v>20593</v>
      </c>
      <c r="E25">
        <v>20783</v>
      </c>
      <c r="F25" t="s">
        <v>37</v>
      </c>
      <c r="G25">
        <f>VLOOKUP(A25,[1]Sheet1!$A:$B,2,FALSE)</f>
        <v>1</v>
      </c>
    </row>
    <row r="26" spans="1:7" hidden="1" x14ac:dyDescent="0.2">
      <c r="A26" t="s">
        <v>13</v>
      </c>
      <c r="B26">
        <v>20274</v>
      </c>
      <c r="C26">
        <v>13999</v>
      </c>
      <c r="D26">
        <v>15282</v>
      </c>
      <c r="E26">
        <v>14062</v>
      </c>
      <c r="F26" t="s">
        <v>37</v>
      </c>
      <c r="G26" t="e">
        <f>VLOOKUP(A26,[1]Sheet1!$A:$B,2,FALSE)</f>
        <v>#N/A</v>
      </c>
    </row>
    <row r="27" spans="1:7" x14ac:dyDescent="0.2">
      <c r="A27" t="s">
        <v>30</v>
      </c>
      <c r="B27">
        <v>17747</v>
      </c>
      <c r="C27">
        <v>22953</v>
      </c>
      <c r="D27">
        <v>13387</v>
      </c>
      <c r="E27">
        <v>15801</v>
      </c>
      <c r="F27" t="s">
        <v>37</v>
      </c>
      <c r="G27">
        <f>VLOOKUP(A27,[1]Sheet1!$A:$B,2,FALSE)</f>
        <v>1</v>
      </c>
    </row>
    <row r="28" spans="1:7" x14ac:dyDescent="0.2">
      <c r="A28" t="s">
        <v>31</v>
      </c>
      <c r="B28">
        <v>16841</v>
      </c>
      <c r="C28">
        <v>9387</v>
      </c>
      <c r="D28">
        <v>15442</v>
      </c>
      <c r="E28">
        <v>6751</v>
      </c>
      <c r="F28" t="s">
        <v>37</v>
      </c>
      <c r="G28">
        <f>VLOOKUP(A28,[1]Sheet1!$A:$B,2,FALSE)</f>
        <v>1</v>
      </c>
    </row>
    <row r="29" spans="1:7" hidden="1" x14ac:dyDescent="0.2">
      <c r="A29" t="s">
        <v>32</v>
      </c>
      <c r="B29">
        <v>7375</v>
      </c>
      <c r="D29">
        <v>4449</v>
      </c>
      <c r="E29">
        <v>7718</v>
      </c>
      <c r="F29" t="s">
        <v>37</v>
      </c>
      <c r="G29" t="e">
        <f>VLOOKUP(A29,[1]Sheet1!$A:$B,2,FALSE)</f>
        <v>#N/A</v>
      </c>
    </row>
    <row r="30" spans="1:7" x14ac:dyDescent="0.2">
      <c r="A30" t="s">
        <v>33</v>
      </c>
      <c r="B30">
        <v>5387</v>
      </c>
      <c r="C30">
        <v>4003</v>
      </c>
      <c r="E30">
        <v>6746</v>
      </c>
      <c r="F30" t="s">
        <v>37</v>
      </c>
      <c r="G30">
        <f>VLOOKUP(A30,[1]Sheet1!$A:$B,2,FALSE)</f>
        <v>1</v>
      </c>
    </row>
    <row r="31" spans="1:7" hidden="1" x14ac:dyDescent="0.2">
      <c r="A31" t="s">
        <v>34</v>
      </c>
      <c r="B31">
        <v>5124</v>
      </c>
      <c r="C31">
        <v>5006</v>
      </c>
      <c r="D31">
        <v>9533</v>
      </c>
      <c r="E31">
        <v>10835</v>
      </c>
      <c r="F31" t="s">
        <v>37</v>
      </c>
      <c r="G31" t="e">
        <f>VLOOKUP(A31,[1]Sheet1!$A:$B,2,FALSE)</f>
        <v>#N/A</v>
      </c>
    </row>
    <row r="32" spans="1:7" hidden="1" x14ac:dyDescent="0.2">
      <c r="A32" t="s">
        <v>14</v>
      </c>
      <c r="C32">
        <v>11477</v>
      </c>
      <c r="E32">
        <v>2328</v>
      </c>
      <c r="F32" t="s">
        <v>37</v>
      </c>
      <c r="G32" t="e">
        <f>VLOOKUP(A32,[1]Sheet1!$A:$B,2,FALSE)</f>
        <v>#N/A</v>
      </c>
    </row>
    <row r="33" spans="1:7" hidden="1" x14ac:dyDescent="0.2">
      <c r="A33" t="s">
        <v>12</v>
      </c>
      <c r="C33">
        <v>6240</v>
      </c>
      <c r="D33">
        <v>0</v>
      </c>
      <c r="F33" t="s">
        <v>37</v>
      </c>
      <c r="G33" t="e">
        <f>VLOOKUP(A33,[1]Sheet1!$A:$B,2,FALSE)</f>
        <v>#N/A</v>
      </c>
    </row>
    <row r="34" spans="1:7" hidden="1" x14ac:dyDescent="0.2">
      <c r="A34" t="s">
        <v>35</v>
      </c>
      <c r="C34">
        <v>10165</v>
      </c>
      <c r="F34" t="s">
        <v>37</v>
      </c>
      <c r="G34" t="e">
        <f>VLOOKUP(A34,[1]Sheet1!$A:$B,2,FALSE)</f>
        <v>#N/A</v>
      </c>
    </row>
    <row r="35" spans="1:7" hidden="1" x14ac:dyDescent="0.2">
      <c r="A35" t="s">
        <v>36</v>
      </c>
      <c r="D35">
        <v>0</v>
      </c>
      <c r="E35">
        <v>0</v>
      </c>
      <c r="F35" t="s">
        <v>37</v>
      </c>
      <c r="G35" t="e">
        <f>VLOOKUP(A35,[1]Sheet1!$A:$B,2,FALSE)</f>
        <v>#N/A</v>
      </c>
    </row>
    <row r="36" spans="1:7" hidden="1" x14ac:dyDescent="0.2">
      <c r="A36" t="s">
        <v>16</v>
      </c>
      <c r="B36">
        <v>0</v>
      </c>
      <c r="C36">
        <v>0</v>
      </c>
      <c r="D36">
        <v>0</v>
      </c>
      <c r="E36">
        <v>0</v>
      </c>
      <c r="F36" t="s">
        <v>37</v>
      </c>
      <c r="G36" t="e">
        <f>VLOOKUP(A36,[1]Sheet1!$A:$B,2,FALSE)</f>
        <v>#N/A</v>
      </c>
    </row>
    <row r="37" spans="1:7" hidden="1" x14ac:dyDescent="0.2">
      <c r="A37" t="s">
        <v>17</v>
      </c>
      <c r="B37">
        <v>0</v>
      </c>
      <c r="C37">
        <v>0</v>
      </c>
      <c r="F37" t="s">
        <v>37</v>
      </c>
      <c r="G37" t="e">
        <f>VLOOKUP(A37,[1]Sheet1!$A:$B,2,FALSE)</f>
        <v>#N/A</v>
      </c>
    </row>
    <row r="38" spans="1:7" x14ac:dyDescent="0.2">
      <c r="A38" t="s">
        <v>25</v>
      </c>
      <c r="B38">
        <v>96759</v>
      </c>
      <c r="C38">
        <v>113656</v>
      </c>
      <c r="D38">
        <v>80005</v>
      </c>
      <c r="E38">
        <v>74768</v>
      </c>
      <c r="F38" t="s">
        <v>38</v>
      </c>
      <c r="G38">
        <f>VLOOKUP(A38,[1]Sheet1!$A:$B,2,FALSE)</f>
        <v>1</v>
      </c>
    </row>
    <row r="39" spans="1:7" x14ac:dyDescent="0.2">
      <c r="A39" t="s">
        <v>27</v>
      </c>
      <c r="B39">
        <v>78636</v>
      </c>
      <c r="C39">
        <v>85077</v>
      </c>
      <c r="D39">
        <v>81644</v>
      </c>
      <c r="E39">
        <v>63534</v>
      </c>
      <c r="F39" t="s">
        <v>38</v>
      </c>
      <c r="G39">
        <f>VLOOKUP(A39,[1]Sheet1!$A:$B,2,FALSE)</f>
        <v>1</v>
      </c>
    </row>
    <row r="40" spans="1:7" x14ac:dyDescent="0.2">
      <c r="A40" t="s">
        <v>26</v>
      </c>
      <c r="B40">
        <v>75240</v>
      </c>
      <c r="C40">
        <v>96961</v>
      </c>
      <c r="D40">
        <v>93360</v>
      </c>
      <c r="E40">
        <v>84457</v>
      </c>
      <c r="F40" t="s">
        <v>38</v>
      </c>
      <c r="G40">
        <f>VLOOKUP(A40,[1]Sheet1!$A:$B,2,FALSE)</f>
        <v>1</v>
      </c>
    </row>
    <row r="41" spans="1:7" x14ac:dyDescent="0.2">
      <c r="A41" t="s">
        <v>30</v>
      </c>
      <c r="B41">
        <v>66880</v>
      </c>
      <c r="C41">
        <v>42312</v>
      </c>
      <c r="D41">
        <v>41367</v>
      </c>
      <c r="E41">
        <v>47976</v>
      </c>
      <c r="F41" t="s">
        <v>38</v>
      </c>
      <c r="G41">
        <f>VLOOKUP(A41,[1]Sheet1!$A:$B,2,FALSE)</f>
        <v>1</v>
      </c>
    </row>
    <row r="42" spans="1:7" x14ac:dyDescent="0.2">
      <c r="A42" t="s">
        <v>29</v>
      </c>
      <c r="B42">
        <v>45779</v>
      </c>
      <c r="C42">
        <v>44286</v>
      </c>
      <c r="D42">
        <v>57462</v>
      </c>
      <c r="E42">
        <v>54654</v>
      </c>
      <c r="F42" t="s">
        <v>38</v>
      </c>
      <c r="G42">
        <f>VLOOKUP(A42,[1]Sheet1!$A:$B,2,FALSE)</f>
        <v>1</v>
      </c>
    </row>
    <row r="43" spans="1:7" x14ac:dyDescent="0.2">
      <c r="A43" t="s">
        <v>31</v>
      </c>
      <c r="B43">
        <v>33630</v>
      </c>
      <c r="C43">
        <v>31293</v>
      </c>
      <c r="D43">
        <v>27385</v>
      </c>
      <c r="E43">
        <v>35372</v>
      </c>
      <c r="F43" t="s">
        <v>38</v>
      </c>
      <c r="G43">
        <f>VLOOKUP(A43,[1]Sheet1!$A:$B,2,FALSE)</f>
        <v>1</v>
      </c>
    </row>
    <row r="44" spans="1:7" hidden="1" x14ac:dyDescent="0.2">
      <c r="A44" t="s">
        <v>34</v>
      </c>
      <c r="B44">
        <v>25730</v>
      </c>
      <c r="C44">
        <v>17658</v>
      </c>
      <c r="D44">
        <v>17391</v>
      </c>
      <c r="E44">
        <v>18858</v>
      </c>
      <c r="F44" t="s">
        <v>38</v>
      </c>
      <c r="G44" t="e">
        <f>VLOOKUP(A44,[1]Sheet1!$A:$B,2,FALSE)</f>
        <v>#N/A</v>
      </c>
    </row>
    <row r="45" spans="1:7" hidden="1" x14ac:dyDescent="0.2">
      <c r="A45" t="s">
        <v>28</v>
      </c>
      <c r="B45">
        <v>21667</v>
      </c>
      <c r="C45">
        <v>19249</v>
      </c>
      <c r="D45">
        <v>26262</v>
      </c>
      <c r="E45">
        <v>31226</v>
      </c>
      <c r="F45" t="s">
        <v>38</v>
      </c>
      <c r="G45" t="e">
        <f>VLOOKUP(A45,[1]Sheet1!$A:$B,2,FALSE)</f>
        <v>#N/A</v>
      </c>
    </row>
    <row r="46" spans="1:7" hidden="1" x14ac:dyDescent="0.2">
      <c r="A46" t="s">
        <v>24</v>
      </c>
      <c r="B46">
        <v>16497</v>
      </c>
      <c r="C46">
        <v>8271</v>
      </c>
      <c r="D46">
        <v>10155</v>
      </c>
      <c r="F46" t="s">
        <v>38</v>
      </c>
      <c r="G46" t="e">
        <f>VLOOKUP(A46,[1]Sheet1!$A:$B,2,FALSE)</f>
        <v>#N/A</v>
      </c>
    </row>
    <row r="47" spans="1:7" hidden="1" x14ac:dyDescent="0.2">
      <c r="A47" t="s">
        <v>32</v>
      </c>
      <c r="B47">
        <v>14961</v>
      </c>
      <c r="C47">
        <v>20691</v>
      </c>
      <c r="D47">
        <v>17818</v>
      </c>
      <c r="E47">
        <v>19885</v>
      </c>
      <c r="F47" t="s">
        <v>38</v>
      </c>
      <c r="G47" t="e">
        <f>VLOOKUP(A47,[1]Sheet1!$A:$B,2,FALSE)</f>
        <v>#N/A</v>
      </c>
    </row>
    <row r="48" spans="1:7" x14ac:dyDescent="0.2">
      <c r="A48" t="s">
        <v>33</v>
      </c>
      <c r="B48">
        <v>12070</v>
      </c>
      <c r="C48">
        <v>14208</v>
      </c>
      <c r="D48">
        <v>10129</v>
      </c>
      <c r="E48">
        <v>15375</v>
      </c>
      <c r="F48" t="s">
        <v>38</v>
      </c>
      <c r="G48">
        <f>VLOOKUP(A48,[1]Sheet1!$A:$B,2,FALSE)</f>
        <v>1</v>
      </c>
    </row>
    <row r="49" spans="1:7" hidden="1" x14ac:dyDescent="0.2">
      <c r="A49" t="s">
        <v>35</v>
      </c>
      <c r="B49">
        <v>11329</v>
      </c>
      <c r="C49">
        <v>19045</v>
      </c>
      <c r="D49">
        <v>17407</v>
      </c>
      <c r="E49">
        <v>12631</v>
      </c>
      <c r="F49" t="s">
        <v>38</v>
      </c>
      <c r="G49" t="e">
        <f>VLOOKUP(A49,[1]Sheet1!$A:$B,2,FALSE)</f>
        <v>#N/A</v>
      </c>
    </row>
    <row r="50" spans="1:7" hidden="1" x14ac:dyDescent="0.2">
      <c r="A50" t="s">
        <v>13</v>
      </c>
      <c r="B50">
        <v>10810</v>
      </c>
      <c r="C50">
        <v>10393</v>
      </c>
      <c r="D50">
        <v>11988</v>
      </c>
      <c r="E50">
        <v>17050</v>
      </c>
      <c r="F50" t="s">
        <v>38</v>
      </c>
      <c r="G50" t="e">
        <f>VLOOKUP(A50,[1]Sheet1!$A:$B,2,FALSE)</f>
        <v>#N/A</v>
      </c>
    </row>
    <row r="51" spans="1:7" hidden="1" x14ac:dyDescent="0.2">
      <c r="A51" t="s">
        <v>12</v>
      </c>
      <c r="B51">
        <v>8163</v>
      </c>
      <c r="C51">
        <v>8009</v>
      </c>
      <c r="D51">
        <v>4989</v>
      </c>
      <c r="E51">
        <v>3682</v>
      </c>
      <c r="F51" t="s">
        <v>38</v>
      </c>
      <c r="G51" t="e">
        <f>VLOOKUP(A51,[1]Sheet1!$A:$B,2,FALSE)</f>
        <v>#N/A</v>
      </c>
    </row>
    <row r="52" spans="1:7" hidden="1" x14ac:dyDescent="0.2">
      <c r="A52" t="s">
        <v>14</v>
      </c>
      <c r="B52">
        <v>5648</v>
      </c>
      <c r="C52">
        <v>5596</v>
      </c>
      <c r="D52">
        <v>4226</v>
      </c>
      <c r="E52">
        <v>4730</v>
      </c>
      <c r="F52" t="s">
        <v>38</v>
      </c>
      <c r="G52" t="e">
        <f>VLOOKUP(A52,[1]Sheet1!$A:$B,2,FALSE)</f>
        <v>#N/A</v>
      </c>
    </row>
    <row r="53" spans="1:7" hidden="1" x14ac:dyDescent="0.2">
      <c r="A53" t="s">
        <v>16</v>
      </c>
      <c r="F53" t="s">
        <v>38</v>
      </c>
      <c r="G53" t="e">
        <f>VLOOKUP(A53,[1]Sheet1!$A:$B,2,FALSE)</f>
        <v>#N/A</v>
      </c>
    </row>
    <row r="54" spans="1:7" hidden="1" x14ac:dyDescent="0.2">
      <c r="A54" t="s">
        <v>36</v>
      </c>
      <c r="F54" t="s">
        <v>38</v>
      </c>
      <c r="G54" t="e">
        <f>VLOOKUP(A54,[1]Sheet1!$A:$B,2,FALSE)</f>
        <v>#N/A</v>
      </c>
    </row>
    <row r="55" spans="1:7" hidden="1" x14ac:dyDescent="0.2">
      <c r="A55" t="s">
        <v>17</v>
      </c>
      <c r="F55" t="s">
        <v>38</v>
      </c>
      <c r="G55" t="e">
        <f>VLOOKUP(A55,[1]Sheet1!$A:$B,2,FALSE)</f>
        <v>#N/A</v>
      </c>
    </row>
    <row r="56" spans="1:7" x14ac:dyDescent="0.2">
      <c r="A56" t="s">
        <v>27</v>
      </c>
      <c r="B56">
        <v>194375</v>
      </c>
      <c r="C56">
        <v>154184</v>
      </c>
      <c r="D56">
        <v>171434</v>
      </c>
      <c r="E56">
        <v>118182</v>
      </c>
      <c r="F56" t="s">
        <v>39</v>
      </c>
      <c r="G56">
        <f>VLOOKUP(A56,[1]Sheet1!$A:$B,2,FALSE)</f>
        <v>1</v>
      </c>
    </row>
    <row r="57" spans="1:7" x14ac:dyDescent="0.2">
      <c r="A57" t="s">
        <v>30</v>
      </c>
      <c r="B57">
        <v>177645</v>
      </c>
      <c r="C57">
        <v>163613</v>
      </c>
      <c r="D57">
        <v>171198</v>
      </c>
      <c r="E57">
        <v>136576</v>
      </c>
      <c r="F57" t="s">
        <v>39</v>
      </c>
      <c r="G57">
        <f>VLOOKUP(A57,[1]Sheet1!$A:$B,2,FALSE)</f>
        <v>1</v>
      </c>
    </row>
    <row r="58" spans="1:7" x14ac:dyDescent="0.2">
      <c r="A58" t="s">
        <v>31</v>
      </c>
      <c r="B58">
        <v>135009</v>
      </c>
      <c r="C58">
        <v>140174</v>
      </c>
      <c r="D58">
        <v>123946</v>
      </c>
      <c r="E58">
        <v>112341</v>
      </c>
      <c r="F58" t="s">
        <v>39</v>
      </c>
      <c r="G58">
        <f>VLOOKUP(A58,[1]Sheet1!$A:$B,2,FALSE)</f>
        <v>1</v>
      </c>
    </row>
    <row r="59" spans="1:7" x14ac:dyDescent="0.2">
      <c r="A59" t="s">
        <v>29</v>
      </c>
      <c r="B59">
        <v>132234</v>
      </c>
      <c r="C59">
        <v>120688</v>
      </c>
      <c r="D59">
        <v>131711</v>
      </c>
      <c r="E59">
        <v>135658</v>
      </c>
      <c r="F59" t="s">
        <v>39</v>
      </c>
      <c r="G59">
        <f>VLOOKUP(A59,[1]Sheet1!$A:$B,2,FALSE)</f>
        <v>1</v>
      </c>
    </row>
    <row r="60" spans="1:7" x14ac:dyDescent="0.2">
      <c r="A60" t="s">
        <v>25</v>
      </c>
      <c r="B60">
        <v>116985</v>
      </c>
      <c r="C60">
        <v>91492</v>
      </c>
      <c r="D60">
        <v>92584</v>
      </c>
      <c r="E60">
        <v>102149</v>
      </c>
      <c r="F60" t="s">
        <v>39</v>
      </c>
      <c r="G60">
        <f>VLOOKUP(A60,[1]Sheet1!$A:$B,2,FALSE)</f>
        <v>1</v>
      </c>
    </row>
    <row r="61" spans="1:7" x14ac:dyDescent="0.2">
      <c r="A61" t="s">
        <v>26</v>
      </c>
      <c r="B61">
        <v>109346</v>
      </c>
      <c r="C61">
        <v>149211</v>
      </c>
      <c r="D61">
        <v>111582</v>
      </c>
      <c r="E61">
        <v>112050</v>
      </c>
      <c r="F61" t="s">
        <v>39</v>
      </c>
      <c r="G61">
        <f>VLOOKUP(A61,[1]Sheet1!$A:$B,2,FALSE)</f>
        <v>1</v>
      </c>
    </row>
    <row r="62" spans="1:7" x14ac:dyDescent="0.2">
      <c r="A62" t="s">
        <v>33</v>
      </c>
      <c r="B62">
        <v>92307</v>
      </c>
      <c r="C62">
        <v>73521</v>
      </c>
      <c r="D62">
        <v>63557</v>
      </c>
      <c r="E62">
        <v>71017</v>
      </c>
      <c r="F62" t="s">
        <v>39</v>
      </c>
      <c r="G62">
        <f>VLOOKUP(A62,[1]Sheet1!$A:$B,2,FALSE)</f>
        <v>1</v>
      </c>
    </row>
    <row r="63" spans="1:7" hidden="1" x14ac:dyDescent="0.2">
      <c r="A63" t="s">
        <v>35</v>
      </c>
      <c r="B63">
        <v>90251</v>
      </c>
      <c r="C63">
        <v>86192</v>
      </c>
      <c r="D63">
        <v>90206</v>
      </c>
      <c r="E63">
        <v>78345</v>
      </c>
      <c r="F63" t="s">
        <v>39</v>
      </c>
      <c r="G63" t="e">
        <f>VLOOKUP(A63,[1]Sheet1!$A:$B,2,FALSE)</f>
        <v>#N/A</v>
      </c>
    </row>
    <row r="64" spans="1:7" hidden="1" x14ac:dyDescent="0.2">
      <c r="A64" t="s">
        <v>32</v>
      </c>
      <c r="B64">
        <v>86647</v>
      </c>
      <c r="C64">
        <v>69247</v>
      </c>
      <c r="D64">
        <v>86237</v>
      </c>
      <c r="E64">
        <v>82616</v>
      </c>
      <c r="F64" t="s">
        <v>39</v>
      </c>
      <c r="G64" t="e">
        <f>VLOOKUP(A64,[1]Sheet1!$A:$B,2,FALSE)</f>
        <v>#N/A</v>
      </c>
    </row>
    <row r="65" spans="1:7" hidden="1" x14ac:dyDescent="0.2">
      <c r="A65" t="s">
        <v>34</v>
      </c>
      <c r="B65">
        <v>46012</v>
      </c>
      <c r="C65">
        <v>35623</v>
      </c>
      <c r="D65">
        <v>38235</v>
      </c>
      <c r="E65">
        <v>46406</v>
      </c>
      <c r="F65" t="s">
        <v>39</v>
      </c>
      <c r="G65" t="e">
        <f>VLOOKUP(A65,[1]Sheet1!$A:$B,2,FALSE)</f>
        <v>#N/A</v>
      </c>
    </row>
    <row r="66" spans="1:7" hidden="1" x14ac:dyDescent="0.2">
      <c r="A66" t="s">
        <v>12</v>
      </c>
      <c r="B66">
        <v>28682</v>
      </c>
      <c r="C66">
        <v>35100</v>
      </c>
      <c r="D66">
        <v>24748</v>
      </c>
      <c r="E66">
        <v>34254</v>
      </c>
      <c r="F66" t="s">
        <v>39</v>
      </c>
      <c r="G66" t="e">
        <f>VLOOKUP(A66,[1]Sheet1!$A:$B,2,FALSE)</f>
        <v>#N/A</v>
      </c>
    </row>
    <row r="67" spans="1:7" hidden="1" x14ac:dyDescent="0.2">
      <c r="A67" t="s">
        <v>14</v>
      </c>
      <c r="B67">
        <v>22271</v>
      </c>
      <c r="C67">
        <v>20735</v>
      </c>
      <c r="D67">
        <v>17142</v>
      </c>
      <c r="E67">
        <v>13041</v>
      </c>
      <c r="F67" t="s">
        <v>39</v>
      </c>
      <c r="G67" t="e">
        <f>VLOOKUP(A67,[1]Sheet1!$A:$B,2,FALSE)</f>
        <v>#N/A</v>
      </c>
    </row>
    <row r="68" spans="1:7" hidden="1" x14ac:dyDescent="0.2">
      <c r="A68" t="s">
        <v>13</v>
      </c>
      <c r="B68">
        <v>15294</v>
      </c>
      <c r="C68">
        <v>24819</v>
      </c>
      <c r="D68">
        <v>11503</v>
      </c>
      <c r="E68">
        <v>20881</v>
      </c>
      <c r="F68" t="s">
        <v>39</v>
      </c>
      <c r="G68" t="e">
        <f>VLOOKUP(A68,[1]Sheet1!$A:$B,2,FALSE)</f>
        <v>#N/A</v>
      </c>
    </row>
    <row r="69" spans="1:7" hidden="1" x14ac:dyDescent="0.2">
      <c r="A69" t="s">
        <v>28</v>
      </c>
      <c r="B69">
        <v>13218</v>
      </c>
      <c r="C69">
        <v>15945</v>
      </c>
      <c r="D69">
        <v>10973</v>
      </c>
      <c r="E69">
        <v>13745</v>
      </c>
      <c r="F69" t="s">
        <v>39</v>
      </c>
      <c r="G69" t="e">
        <f>VLOOKUP(A69,[1]Sheet1!$A:$B,2,FALSE)</f>
        <v>#N/A</v>
      </c>
    </row>
    <row r="70" spans="1:7" hidden="1" x14ac:dyDescent="0.2">
      <c r="A70" t="s">
        <v>24</v>
      </c>
      <c r="B70">
        <v>4933</v>
      </c>
      <c r="F70" t="s">
        <v>39</v>
      </c>
      <c r="G70" t="e">
        <f>VLOOKUP(A70,[1]Sheet1!$A:$B,2,FALSE)</f>
        <v>#N/A</v>
      </c>
    </row>
    <row r="71" spans="1:7" hidden="1" x14ac:dyDescent="0.2">
      <c r="A71" t="s">
        <v>16</v>
      </c>
      <c r="B71">
        <v>3074</v>
      </c>
      <c r="D71">
        <v>2843</v>
      </c>
      <c r="E71">
        <v>5745</v>
      </c>
      <c r="F71" t="s">
        <v>39</v>
      </c>
      <c r="G71" t="e">
        <f>VLOOKUP(A71,[1]Sheet1!$A:$B,2,FALSE)</f>
        <v>#N/A</v>
      </c>
    </row>
    <row r="72" spans="1:7" hidden="1" x14ac:dyDescent="0.2">
      <c r="A72" t="s">
        <v>36</v>
      </c>
      <c r="B72">
        <v>1387</v>
      </c>
      <c r="C72">
        <v>3602</v>
      </c>
      <c r="D72">
        <v>2479</v>
      </c>
      <c r="F72" t="s">
        <v>39</v>
      </c>
      <c r="G72" t="e">
        <f>VLOOKUP(A72,[1]Sheet1!$A:$B,2,FALSE)</f>
        <v>#N/A</v>
      </c>
    </row>
    <row r="73" spans="1:7" hidden="1" x14ac:dyDescent="0.2">
      <c r="A73" t="s">
        <v>17</v>
      </c>
      <c r="E73">
        <v>3130</v>
      </c>
      <c r="F73" t="s">
        <v>39</v>
      </c>
      <c r="G73" t="e">
        <f>VLOOKUP(A73,[1]Sheet1!$A:$B,2,FALSE)</f>
        <v>#N/A</v>
      </c>
    </row>
  </sheetData>
  <autoFilter ref="A1:G73" xr:uid="{5B41823A-B125-4916-A51D-1BF393550208}">
    <filterColumn colId="6">
      <filters>
        <filter val="1"/>
      </filters>
    </filterColumn>
  </autoFilter>
  <sortState xmlns:xlrd2="http://schemas.microsoft.com/office/spreadsheetml/2017/richdata2" ref="A1:F19">
    <sortCondition descending="1" ref="B1:B1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85B7-C7DF-4D49-A0BA-2AC290CF7379}">
  <dimension ref="A1:F29"/>
  <sheetViews>
    <sheetView tabSelected="1" topLeftCell="B1" workbookViewId="0">
      <selection activeCell="T18" sqref="T18"/>
    </sheetView>
  </sheetViews>
  <sheetFormatPr defaultRowHeight="15" x14ac:dyDescent="0.2"/>
  <cols>
    <col min="1" max="1" width="56.33203125" bestFit="1" customWidth="1"/>
  </cols>
  <sheetData>
    <row r="1" spans="1:6" x14ac:dyDescent="0.2">
      <c r="B1" t="s">
        <v>22</v>
      </c>
      <c r="C1" t="s">
        <v>21</v>
      </c>
      <c r="D1" t="s">
        <v>20</v>
      </c>
      <c r="E1" t="s">
        <v>19</v>
      </c>
      <c r="F1" t="s">
        <v>18</v>
      </c>
    </row>
    <row r="2" spans="1:6" x14ac:dyDescent="0.2">
      <c r="A2" t="s">
        <v>27</v>
      </c>
      <c r="B2" t="s">
        <v>23</v>
      </c>
      <c r="C2">
        <v>239364</v>
      </c>
      <c r="D2">
        <v>304509</v>
      </c>
      <c r="E2">
        <v>298490</v>
      </c>
      <c r="F2">
        <v>336556</v>
      </c>
    </row>
    <row r="3" spans="1:6" x14ac:dyDescent="0.2">
      <c r="A3" t="s">
        <v>25</v>
      </c>
      <c r="B3" t="s">
        <v>23</v>
      </c>
      <c r="C3">
        <v>256692</v>
      </c>
      <c r="D3">
        <v>253146</v>
      </c>
      <c r="E3">
        <v>278689</v>
      </c>
      <c r="F3">
        <v>312977</v>
      </c>
    </row>
    <row r="4" spans="1:6" x14ac:dyDescent="0.2">
      <c r="A4" t="s">
        <v>26</v>
      </c>
      <c r="B4" t="s">
        <v>23</v>
      </c>
      <c r="C4">
        <v>283245</v>
      </c>
      <c r="D4">
        <v>306066</v>
      </c>
      <c r="E4">
        <v>314861</v>
      </c>
      <c r="F4">
        <v>281850</v>
      </c>
    </row>
    <row r="5" spans="1:6" x14ac:dyDescent="0.2">
      <c r="A5" t="s">
        <v>30</v>
      </c>
      <c r="B5" t="s">
        <v>23</v>
      </c>
      <c r="C5">
        <v>200353</v>
      </c>
      <c r="D5">
        <v>225952</v>
      </c>
      <c r="E5">
        <v>228878</v>
      </c>
      <c r="F5">
        <v>262272</v>
      </c>
    </row>
    <row r="6" spans="1:6" x14ac:dyDescent="0.2">
      <c r="A6" t="s">
        <v>29</v>
      </c>
      <c r="B6" t="s">
        <v>23</v>
      </c>
      <c r="C6">
        <v>211095</v>
      </c>
      <c r="D6">
        <v>209766</v>
      </c>
      <c r="E6">
        <v>183014</v>
      </c>
      <c r="F6">
        <v>213146</v>
      </c>
    </row>
    <row r="7" spans="1:6" x14ac:dyDescent="0.2">
      <c r="A7" t="s">
        <v>31</v>
      </c>
      <c r="B7" t="s">
        <v>23</v>
      </c>
      <c r="C7">
        <v>154464</v>
      </c>
      <c r="D7">
        <v>166773</v>
      </c>
      <c r="E7">
        <v>180854</v>
      </c>
      <c r="F7">
        <v>185480</v>
      </c>
    </row>
    <row r="8" spans="1:6" x14ac:dyDescent="0.2">
      <c r="A8" t="s">
        <v>33</v>
      </c>
      <c r="B8" t="s">
        <v>23</v>
      </c>
      <c r="C8">
        <v>93138</v>
      </c>
      <c r="D8">
        <v>75037</v>
      </c>
      <c r="E8">
        <v>91732</v>
      </c>
      <c r="F8">
        <v>109764</v>
      </c>
    </row>
    <row r="9" spans="1:6" x14ac:dyDescent="0.2">
      <c r="A9" t="s">
        <v>25</v>
      </c>
      <c r="B9" t="s">
        <v>37</v>
      </c>
      <c r="C9">
        <v>79775</v>
      </c>
      <c r="D9">
        <v>80557</v>
      </c>
      <c r="E9">
        <v>73541</v>
      </c>
      <c r="F9">
        <v>99233</v>
      </c>
    </row>
    <row r="10" spans="1:6" x14ac:dyDescent="0.2">
      <c r="A10" t="s">
        <v>26</v>
      </c>
      <c r="B10" t="s">
        <v>37</v>
      </c>
      <c r="C10">
        <v>86738</v>
      </c>
      <c r="D10">
        <v>101124</v>
      </c>
      <c r="E10">
        <v>68689</v>
      </c>
      <c r="F10">
        <v>97264</v>
      </c>
    </row>
    <row r="11" spans="1:6" x14ac:dyDescent="0.2">
      <c r="A11" t="s">
        <v>27</v>
      </c>
      <c r="B11" t="s">
        <v>37</v>
      </c>
      <c r="C11">
        <v>57648</v>
      </c>
      <c r="D11">
        <v>51431</v>
      </c>
      <c r="E11">
        <v>59229</v>
      </c>
      <c r="F11">
        <v>63545</v>
      </c>
    </row>
    <row r="12" spans="1:6" x14ac:dyDescent="0.2">
      <c r="A12" t="s">
        <v>29</v>
      </c>
      <c r="B12" t="s">
        <v>37</v>
      </c>
      <c r="C12">
        <v>20783</v>
      </c>
      <c r="D12">
        <v>20593</v>
      </c>
      <c r="E12">
        <v>18040</v>
      </c>
      <c r="F12">
        <v>35133</v>
      </c>
    </row>
    <row r="13" spans="1:6" x14ac:dyDescent="0.2">
      <c r="A13" t="s">
        <v>30</v>
      </c>
      <c r="B13" t="s">
        <v>37</v>
      </c>
      <c r="C13">
        <v>15801</v>
      </c>
      <c r="D13">
        <v>13387</v>
      </c>
      <c r="E13">
        <v>22953</v>
      </c>
      <c r="F13">
        <v>17747</v>
      </c>
    </row>
    <row r="14" spans="1:6" x14ac:dyDescent="0.2">
      <c r="A14" t="s">
        <v>31</v>
      </c>
      <c r="B14" t="s">
        <v>37</v>
      </c>
      <c r="C14">
        <v>6751</v>
      </c>
      <c r="D14">
        <v>15442</v>
      </c>
      <c r="E14">
        <v>9387</v>
      </c>
      <c r="F14">
        <v>16841</v>
      </c>
    </row>
    <row r="15" spans="1:6" x14ac:dyDescent="0.2">
      <c r="A15" t="s">
        <v>33</v>
      </c>
      <c r="B15" t="s">
        <v>37</v>
      </c>
      <c r="C15">
        <v>6746</v>
      </c>
      <c r="E15">
        <v>4003</v>
      </c>
      <c r="F15">
        <v>5387</v>
      </c>
    </row>
    <row r="16" spans="1:6" x14ac:dyDescent="0.2">
      <c r="A16" t="s">
        <v>25</v>
      </c>
      <c r="B16" t="s">
        <v>38</v>
      </c>
      <c r="C16">
        <v>74768</v>
      </c>
      <c r="D16">
        <v>80005</v>
      </c>
      <c r="E16">
        <v>113656</v>
      </c>
      <c r="F16">
        <v>96759</v>
      </c>
    </row>
    <row r="17" spans="1:6" x14ac:dyDescent="0.2">
      <c r="A17" t="s">
        <v>27</v>
      </c>
      <c r="B17" t="s">
        <v>38</v>
      </c>
      <c r="C17">
        <v>63534</v>
      </c>
      <c r="D17">
        <v>81644</v>
      </c>
      <c r="E17">
        <v>85077</v>
      </c>
      <c r="F17">
        <v>78636</v>
      </c>
    </row>
    <row r="18" spans="1:6" x14ac:dyDescent="0.2">
      <c r="A18" t="s">
        <v>26</v>
      </c>
      <c r="B18" t="s">
        <v>38</v>
      </c>
      <c r="C18">
        <v>84457</v>
      </c>
      <c r="D18">
        <v>93360</v>
      </c>
      <c r="E18">
        <v>96961</v>
      </c>
      <c r="F18">
        <v>75240</v>
      </c>
    </row>
    <row r="19" spans="1:6" x14ac:dyDescent="0.2">
      <c r="A19" t="s">
        <v>30</v>
      </c>
      <c r="B19" t="s">
        <v>38</v>
      </c>
      <c r="C19">
        <v>47976</v>
      </c>
      <c r="D19">
        <v>41367</v>
      </c>
      <c r="E19">
        <v>42312</v>
      </c>
      <c r="F19">
        <v>66880</v>
      </c>
    </row>
    <row r="20" spans="1:6" x14ac:dyDescent="0.2">
      <c r="A20" t="s">
        <v>29</v>
      </c>
      <c r="B20" t="s">
        <v>38</v>
      </c>
      <c r="C20">
        <v>54654</v>
      </c>
      <c r="D20">
        <v>57462</v>
      </c>
      <c r="E20">
        <v>44286</v>
      </c>
      <c r="F20">
        <v>45779</v>
      </c>
    </row>
    <row r="21" spans="1:6" x14ac:dyDescent="0.2">
      <c r="A21" t="s">
        <v>31</v>
      </c>
      <c r="B21" t="s">
        <v>38</v>
      </c>
      <c r="C21">
        <v>35372</v>
      </c>
      <c r="D21">
        <v>27385</v>
      </c>
      <c r="E21">
        <v>31293</v>
      </c>
      <c r="F21">
        <v>33630</v>
      </c>
    </row>
    <row r="22" spans="1:6" x14ac:dyDescent="0.2">
      <c r="A22" t="s">
        <v>33</v>
      </c>
      <c r="B22" t="s">
        <v>38</v>
      </c>
      <c r="C22">
        <v>15375</v>
      </c>
      <c r="D22">
        <v>10129</v>
      </c>
      <c r="E22">
        <v>14208</v>
      </c>
      <c r="F22">
        <v>12070</v>
      </c>
    </row>
    <row r="23" spans="1:6" x14ac:dyDescent="0.2">
      <c r="A23" t="s">
        <v>27</v>
      </c>
      <c r="B23" t="s">
        <v>39</v>
      </c>
      <c r="C23">
        <v>118182</v>
      </c>
      <c r="D23">
        <v>171434</v>
      </c>
      <c r="E23">
        <v>154184</v>
      </c>
      <c r="F23">
        <v>194375</v>
      </c>
    </row>
    <row r="24" spans="1:6" x14ac:dyDescent="0.2">
      <c r="A24" t="s">
        <v>30</v>
      </c>
      <c r="B24" t="s">
        <v>39</v>
      </c>
      <c r="C24">
        <v>136576</v>
      </c>
      <c r="D24">
        <v>171198</v>
      </c>
      <c r="E24">
        <v>163613</v>
      </c>
      <c r="F24">
        <v>177645</v>
      </c>
    </row>
    <row r="25" spans="1:6" x14ac:dyDescent="0.2">
      <c r="A25" t="s">
        <v>31</v>
      </c>
      <c r="B25" t="s">
        <v>39</v>
      </c>
      <c r="C25">
        <v>112341</v>
      </c>
      <c r="D25">
        <v>123946</v>
      </c>
      <c r="E25">
        <v>140174</v>
      </c>
      <c r="F25">
        <v>135009</v>
      </c>
    </row>
    <row r="26" spans="1:6" x14ac:dyDescent="0.2">
      <c r="A26" t="s">
        <v>29</v>
      </c>
      <c r="B26" t="s">
        <v>39</v>
      </c>
      <c r="C26">
        <v>135658</v>
      </c>
      <c r="D26">
        <v>131711</v>
      </c>
      <c r="E26">
        <v>120688</v>
      </c>
      <c r="F26">
        <v>132234</v>
      </c>
    </row>
    <row r="27" spans="1:6" x14ac:dyDescent="0.2">
      <c r="A27" t="s">
        <v>25</v>
      </c>
      <c r="B27" t="s">
        <v>39</v>
      </c>
      <c r="C27">
        <v>102149</v>
      </c>
      <c r="D27">
        <v>92584</v>
      </c>
      <c r="E27">
        <v>91492</v>
      </c>
      <c r="F27">
        <v>116985</v>
      </c>
    </row>
    <row r="28" spans="1:6" x14ac:dyDescent="0.2">
      <c r="A28" t="s">
        <v>26</v>
      </c>
      <c r="B28" t="s">
        <v>39</v>
      </c>
      <c r="C28">
        <v>112050</v>
      </c>
      <c r="D28">
        <v>111582</v>
      </c>
      <c r="E28">
        <v>149211</v>
      </c>
      <c r="F28">
        <v>109346</v>
      </c>
    </row>
    <row r="29" spans="1:6" x14ac:dyDescent="0.2">
      <c r="A29" t="s">
        <v>33</v>
      </c>
      <c r="B29" t="s">
        <v>39</v>
      </c>
      <c r="C29">
        <v>71017</v>
      </c>
      <c r="D29">
        <v>63557</v>
      </c>
      <c r="E29">
        <v>73521</v>
      </c>
      <c r="F29">
        <v>92307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536C-B5DC-4C42-8C1B-E98859BB842B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2022-10-27T14:41:07Z</dcterms:created>
  <dcterms:modified xsi:type="dcterms:W3CDTF">2022-10-27T16:25:36Z</dcterms:modified>
</cp:coreProperties>
</file>