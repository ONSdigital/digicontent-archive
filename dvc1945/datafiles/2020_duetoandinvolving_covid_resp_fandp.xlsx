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genmort/Projects/Winston_Centre/"/>
    </mc:Choice>
  </mc:AlternateContent>
  <xr:revisionPtr revIDLastSave="0" documentId="8_{36A1579E-76B9-4690-814B-92DBE939B418}" xr6:coauthVersionLast="47" xr6:coauthVersionMax="47" xr10:uidLastSave="{00000000-0000-0000-0000-000000000000}"/>
  <bookViews>
    <workbookView xWindow="-120" yWindow="-120" windowWidth="29040" windowHeight="15840" firstSheet="7" activeTab="7" xr2:uid="{9034AC1F-BBB8-4E4A-9914-7993272A8718}"/>
  </bookViews>
  <sheets>
    <sheet name="Due to covid-19" sheetId="1" r:id="rId1"/>
    <sheet name="Involving covid-19" sheetId="2" r:id="rId2"/>
    <sheet name="Due to F&amp;P" sheetId="3" r:id="rId3"/>
    <sheet name="Involving F&amp;P" sheetId="4" r:id="rId4"/>
    <sheet name="Due to respiratory" sheetId="5" r:id="rId5"/>
    <sheet name="Involving respiratory" sheetId="6" r:id="rId6"/>
    <sheet name="Sheet1" sheetId="7" r:id="rId7"/>
    <sheet name="Sheet2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5" i="7" l="1"/>
  <c r="D114" i="7"/>
  <c r="B112" i="8"/>
  <c r="C112" i="8"/>
  <c r="D112" i="8"/>
  <c r="E112" i="8"/>
  <c r="F112" i="8"/>
  <c r="G112" i="8"/>
  <c r="B4" i="8"/>
  <c r="C4" i="8"/>
  <c r="D4" i="8"/>
  <c r="E4" i="8"/>
  <c r="F4" i="8"/>
  <c r="G4" i="8"/>
  <c r="B5" i="8"/>
  <c r="C5" i="8"/>
  <c r="D5" i="8"/>
  <c r="E5" i="8"/>
  <c r="F5" i="8"/>
  <c r="G5" i="8"/>
  <c r="B6" i="8"/>
  <c r="C6" i="8"/>
  <c r="D6" i="8"/>
  <c r="E6" i="8"/>
  <c r="F6" i="8"/>
  <c r="G6" i="8"/>
  <c r="B7" i="8"/>
  <c r="C7" i="8"/>
  <c r="D7" i="8"/>
  <c r="E7" i="8"/>
  <c r="F7" i="8"/>
  <c r="G7" i="8"/>
  <c r="B8" i="8"/>
  <c r="C8" i="8"/>
  <c r="D8" i="8"/>
  <c r="E8" i="8"/>
  <c r="F8" i="8"/>
  <c r="G8" i="8"/>
  <c r="B9" i="8"/>
  <c r="C9" i="8"/>
  <c r="D9" i="8"/>
  <c r="E9" i="8"/>
  <c r="F9" i="8"/>
  <c r="G9" i="8"/>
  <c r="B10" i="8"/>
  <c r="C10" i="8"/>
  <c r="D10" i="8"/>
  <c r="E10" i="8"/>
  <c r="F10" i="8"/>
  <c r="G10" i="8"/>
  <c r="B11" i="8"/>
  <c r="C11" i="8"/>
  <c r="D11" i="8"/>
  <c r="E11" i="8"/>
  <c r="F11" i="8"/>
  <c r="G11" i="8"/>
  <c r="B12" i="8"/>
  <c r="C12" i="8"/>
  <c r="D12" i="8"/>
  <c r="E12" i="8"/>
  <c r="F12" i="8"/>
  <c r="G12" i="8"/>
  <c r="B13" i="8"/>
  <c r="C13" i="8"/>
  <c r="D13" i="8"/>
  <c r="E13" i="8"/>
  <c r="F13" i="8"/>
  <c r="G13" i="8"/>
  <c r="B14" i="8"/>
  <c r="C14" i="8"/>
  <c r="D14" i="8"/>
  <c r="E14" i="8"/>
  <c r="F14" i="8"/>
  <c r="G14" i="8"/>
  <c r="B15" i="8"/>
  <c r="C15" i="8"/>
  <c r="D15" i="8"/>
  <c r="E15" i="8"/>
  <c r="F15" i="8"/>
  <c r="G15" i="8"/>
  <c r="B16" i="8"/>
  <c r="C16" i="8"/>
  <c r="D16" i="8"/>
  <c r="E16" i="8"/>
  <c r="F16" i="8"/>
  <c r="G16" i="8"/>
  <c r="B17" i="8"/>
  <c r="C17" i="8"/>
  <c r="D17" i="8"/>
  <c r="E17" i="8"/>
  <c r="F17" i="8"/>
  <c r="G17" i="8"/>
  <c r="B18" i="8"/>
  <c r="C18" i="8"/>
  <c r="D18" i="8"/>
  <c r="E18" i="8"/>
  <c r="F18" i="8"/>
  <c r="G18" i="8"/>
  <c r="B19" i="8"/>
  <c r="C19" i="8"/>
  <c r="D19" i="8"/>
  <c r="E19" i="8"/>
  <c r="F19" i="8"/>
  <c r="G19" i="8"/>
  <c r="B20" i="8"/>
  <c r="C20" i="8"/>
  <c r="D20" i="8"/>
  <c r="E20" i="8"/>
  <c r="F20" i="8"/>
  <c r="G20" i="8"/>
  <c r="B21" i="8"/>
  <c r="C21" i="8"/>
  <c r="D21" i="8"/>
  <c r="E21" i="8"/>
  <c r="F21" i="8"/>
  <c r="G21" i="8"/>
  <c r="B22" i="8"/>
  <c r="C22" i="8"/>
  <c r="D22" i="8"/>
  <c r="E22" i="8"/>
  <c r="F22" i="8"/>
  <c r="G22" i="8"/>
  <c r="B23" i="8"/>
  <c r="C23" i="8"/>
  <c r="D23" i="8"/>
  <c r="E23" i="8"/>
  <c r="F23" i="8"/>
  <c r="G23" i="8"/>
  <c r="B24" i="8"/>
  <c r="C24" i="8"/>
  <c r="D24" i="8"/>
  <c r="E24" i="8"/>
  <c r="F24" i="8"/>
  <c r="G24" i="8"/>
  <c r="B25" i="8"/>
  <c r="C25" i="8"/>
  <c r="D25" i="8"/>
  <c r="E25" i="8"/>
  <c r="F25" i="8"/>
  <c r="G25" i="8"/>
  <c r="B26" i="8"/>
  <c r="C26" i="8"/>
  <c r="D26" i="8"/>
  <c r="E26" i="8"/>
  <c r="F26" i="8"/>
  <c r="G26" i="8"/>
  <c r="B27" i="8"/>
  <c r="C27" i="8"/>
  <c r="D27" i="8"/>
  <c r="E27" i="8"/>
  <c r="F27" i="8"/>
  <c r="G27" i="8"/>
  <c r="B28" i="8"/>
  <c r="C28" i="8"/>
  <c r="D28" i="8"/>
  <c r="E28" i="8"/>
  <c r="F28" i="8"/>
  <c r="G28" i="8"/>
  <c r="B29" i="8"/>
  <c r="C29" i="8"/>
  <c r="D29" i="8"/>
  <c r="E29" i="8"/>
  <c r="F29" i="8"/>
  <c r="G29" i="8"/>
  <c r="B30" i="8"/>
  <c r="C30" i="8"/>
  <c r="D30" i="8"/>
  <c r="E30" i="8"/>
  <c r="F30" i="8"/>
  <c r="G30" i="8"/>
  <c r="B31" i="8"/>
  <c r="C31" i="8"/>
  <c r="D31" i="8"/>
  <c r="E31" i="8"/>
  <c r="F31" i="8"/>
  <c r="G31" i="8"/>
  <c r="B32" i="8"/>
  <c r="C32" i="8"/>
  <c r="D32" i="8"/>
  <c r="E32" i="8"/>
  <c r="F32" i="8"/>
  <c r="G32" i="8"/>
  <c r="B33" i="8"/>
  <c r="C33" i="8"/>
  <c r="D33" i="8"/>
  <c r="E33" i="8"/>
  <c r="F33" i="8"/>
  <c r="G33" i="8"/>
  <c r="B34" i="8"/>
  <c r="C34" i="8"/>
  <c r="D34" i="8"/>
  <c r="E34" i="8"/>
  <c r="F34" i="8"/>
  <c r="G34" i="8"/>
  <c r="B35" i="8"/>
  <c r="C35" i="8"/>
  <c r="D35" i="8"/>
  <c r="E35" i="8"/>
  <c r="F35" i="8"/>
  <c r="G35" i="8"/>
  <c r="B36" i="8"/>
  <c r="C36" i="8"/>
  <c r="D36" i="8"/>
  <c r="E36" i="8"/>
  <c r="F36" i="8"/>
  <c r="G36" i="8"/>
  <c r="B37" i="8"/>
  <c r="C37" i="8"/>
  <c r="D37" i="8"/>
  <c r="E37" i="8"/>
  <c r="F37" i="8"/>
  <c r="G37" i="8"/>
  <c r="B38" i="8"/>
  <c r="C38" i="8"/>
  <c r="D38" i="8"/>
  <c r="E38" i="8"/>
  <c r="F38" i="8"/>
  <c r="G38" i="8"/>
  <c r="B39" i="8"/>
  <c r="C39" i="8"/>
  <c r="D39" i="8"/>
  <c r="E39" i="8"/>
  <c r="F39" i="8"/>
  <c r="G39" i="8"/>
  <c r="B40" i="8"/>
  <c r="C40" i="8"/>
  <c r="D40" i="8"/>
  <c r="E40" i="8"/>
  <c r="F40" i="8"/>
  <c r="G40" i="8"/>
  <c r="B41" i="8"/>
  <c r="C41" i="8"/>
  <c r="D41" i="8"/>
  <c r="E41" i="8"/>
  <c r="F41" i="8"/>
  <c r="G41" i="8"/>
  <c r="B42" i="8"/>
  <c r="C42" i="8"/>
  <c r="D42" i="8"/>
  <c r="E42" i="8"/>
  <c r="F42" i="8"/>
  <c r="G42" i="8"/>
  <c r="B43" i="8"/>
  <c r="C43" i="8"/>
  <c r="D43" i="8"/>
  <c r="E43" i="8"/>
  <c r="F43" i="8"/>
  <c r="G43" i="8"/>
  <c r="B44" i="8"/>
  <c r="C44" i="8"/>
  <c r="D44" i="8"/>
  <c r="E44" i="8"/>
  <c r="F44" i="8"/>
  <c r="G44" i="8"/>
  <c r="B45" i="8"/>
  <c r="C45" i="8"/>
  <c r="D45" i="8"/>
  <c r="E45" i="8"/>
  <c r="F45" i="8"/>
  <c r="G45" i="8"/>
  <c r="B46" i="8"/>
  <c r="C46" i="8"/>
  <c r="D46" i="8"/>
  <c r="E46" i="8"/>
  <c r="F46" i="8"/>
  <c r="G46" i="8"/>
  <c r="B47" i="8"/>
  <c r="C47" i="8"/>
  <c r="D47" i="8"/>
  <c r="E47" i="8"/>
  <c r="F47" i="8"/>
  <c r="G47" i="8"/>
  <c r="B48" i="8"/>
  <c r="C48" i="8"/>
  <c r="D48" i="8"/>
  <c r="E48" i="8"/>
  <c r="F48" i="8"/>
  <c r="G48" i="8"/>
  <c r="B49" i="8"/>
  <c r="C49" i="8"/>
  <c r="D49" i="8"/>
  <c r="E49" i="8"/>
  <c r="F49" i="8"/>
  <c r="G49" i="8"/>
  <c r="B50" i="8"/>
  <c r="C50" i="8"/>
  <c r="D50" i="8"/>
  <c r="E50" i="8"/>
  <c r="F50" i="8"/>
  <c r="G50" i="8"/>
  <c r="B51" i="8"/>
  <c r="C51" i="8"/>
  <c r="D51" i="8"/>
  <c r="E51" i="8"/>
  <c r="F51" i="8"/>
  <c r="G51" i="8"/>
  <c r="B52" i="8"/>
  <c r="C52" i="8"/>
  <c r="D52" i="8"/>
  <c r="E52" i="8"/>
  <c r="F52" i="8"/>
  <c r="G52" i="8"/>
  <c r="B53" i="8"/>
  <c r="C53" i="8"/>
  <c r="D53" i="8"/>
  <c r="E53" i="8"/>
  <c r="F53" i="8"/>
  <c r="G53" i="8"/>
  <c r="B54" i="8"/>
  <c r="C54" i="8"/>
  <c r="D54" i="8"/>
  <c r="E54" i="8"/>
  <c r="F54" i="8"/>
  <c r="G54" i="8"/>
  <c r="B55" i="8"/>
  <c r="C55" i="8"/>
  <c r="D55" i="8"/>
  <c r="E55" i="8"/>
  <c r="F55" i="8"/>
  <c r="G55" i="8"/>
  <c r="B56" i="8"/>
  <c r="C56" i="8"/>
  <c r="D56" i="8"/>
  <c r="E56" i="8"/>
  <c r="F56" i="8"/>
  <c r="G56" i="8"/>
  <c r="B57" i="8"/>
  <c r="C57" i="8"/>
  <c r="D57" i="8"/>
  <c r="E57" i="8"/>
  <c r="F57" i="8"/>
  <c r="G57" i="8"/>
  <c r="B58" i="8"/>
  <c r="C58" i="8"/>
  <c r="D58" i="8"/>
  <c r="E58" i="8"/>
  <c r="F58" i="8"/>
  <c r="G58" i="8"/>
  <c r="B59" i="8"/>
  <c r="C59" i="8"/>
  <c r="D59" i="8"/>
  <c r="E59" i="8"/>
  <c r="F59" i="8"/>
  <c r="G59" i="8"/>
  <c r="B60" i="8"/>
  <c r="C60" i="8"/>
  <c r="D60" i="8"/>
  <c r="E60" i="8"/>
  <c r="F60" i="8"/>
  <c r="G60" i="8"/>
  <c r="B61" i="8"/>
  <c r="C61" i="8"/>
  <c r="D61" i="8"/>
  <c r="E61" i="8"/>
  <c r="F61" i="8"/>
  <c r="G61" i="8"/>
  <c r="B62" i="8"/>
  <c r="C62" i="8"/>
  <c r="D62" i="8"/>
  <c r="E62" i="8"/>
  <c r="F62" i="8"/>
  <c r="G62" i="8"/>
  <c r="B63" i="8"/>
  <c r="C63" i="8"/>
  <c r="D63" i="8"/>
  <c r="E63" i="8"/>
  <c r="F63" i="8"/>
  <c r="G63" i="8"/>
  <c r="B64" i="8"/>
  <c r="C64" i="8"/>
  <c r="D64" i="8"/>
  <c r="E64" i="8"/>
  <c r="F64" i="8"/>
  <c r="G64" i="8"/>
  <c r="B65" i="8"/>
  <c r="C65" i="8"/>
  <c r="D65" i="8"/>
  <c r="E65" i="8"/>
  <c r="F65" i="8"/>
  <c r="G65" i="8"/>
  <c r="B66" i="8"/>
  <c r="C66" i="8"/>
  <c r="D66" i="8"/>
  <c r="E66" i="8"/>
  <c r="F66" i="8"/>
  <c r="G66" i="8"/>
  <c r="B67" i="8"/>
  <c r="C67" i="8"/>
  <c r="D67" i="8"/>
  <c r="E67" i="8"/>
  <c r="F67" i="8"/>
  <c r="G67" i="8"/>
  <c r="B68" i="8"/>
  <c r="C68" i="8"/>
  <c r="D68" i="8"/>
  <c r="E68" i="8"/>
  <c r="F68" i="8"/>
  <c r="G68" i="8"/>
  <c r="B69" i="8"/>
  <c r="C69" i="8"/>
  <c r="D69" i="8"/>
  <c r="E69" i="8"/>
  <c r="F69" i="8"/>
  <c r="G69" i="8"/>
  <c r="B70" i="8"/>
  <c r="C70" i="8"/>
  <c r="D70" i="8"/>
  <c r="E70" i="8"/>
  <c r="F70" i="8"/>
  <c r="G70" i="8"/>
  <c r="B71" i="8"/>
  <c r="C71" i="8"/>
  <c r="D71" i="8"/>
  <c r="E71" i="8"/>
  <c r="F71" i="8"/>
  <c r="G71" i="8"/>
  <c r="B72" i="8"/>
  <c r="C72" i="8"/>
  <c r="D72" i="8"/>
  <c r="E72" i="8"/>
  <c r="F72" i="8"/>
  <c r="G72" i="8"/>
  <c r="B73" i="8"/>
  <c r="C73" i="8"/>
  <c r="D73" i="8"/>
  <c r="E73" i="8"/>
  <c r="F73" i="8"/>
  <c r="G73" i="8"/>
  <c r="B74" i="8"/>
  <c r="C74" i="8"/>
  <c r="D74" i="8"/>
  <c r="E74" i="8"/>
  <c r="F74" i="8"/>
  <c r="G74" i="8"/>
  <c r="B75" i="8"/>
  <c r="C75" i="8"/>
  <c r="D75" i="8"/>
  <c r="E75" i="8"/>
  <c r="F75" i="8"/>
  <c r="G75" i="8"/>
  <c r="B76" i="8"/>
  <c r="C76" i="8"/>
  <c r="D76" i="8"/>
  <c r="E76" i="8"/>
  <c r="F76" i="8"/>
  <c r="G76" i="8"/>
  <c r="B77" i="8"/>
  <c r="C77" i="8"/>
  <c r="D77" i="8"/>
  <c r="E77" i="8"/>
  <c r="F77" i="8"/>
  <c r="G77" i="8"/>
  <c r="B78" i="8"/>
  <c r="C78" i="8"/>
  <c r="D78" i="8"/>
  <c r="E78" i="8"/>
  <c r="F78" i="8"/>
  <c r="G78" i="8"/>
  <c r="B79" i="8"/>
  <c r="C79" i="8"/>
  <c r="D79" i="8"/>
  <c r="E79" i="8"/>
  <c r="F79" i="8"/>
  <c r="G79" i="8"/>
  <c r="B80" i="8"/>
  <c r="C80" i="8"/>
  <c r="D80" i="8"/>
  <c r="E80" i="8"/>
  <c r="F80" i="8"/>
  <c r="G80" i="8"/>
  <c r="B81" i="8"/>
  <c r="C81" i="8"/>
  <c r="D81" i="8"/>
  <c r="E81" i="8"/>
  <c r="F81" i="8"/>
  <c r="G81" i="8"/>
  <c r="B82" i="8"/>
  <c r="C82" i="8"/>
  <c r="D82" i="8"/>
  <c r="E82" i="8"/>
  <c r="F82" i="8"/>
  <c r="G82" i="8"/>
  <c r="B83" i="8"/>
  <c r="C83" i="8"/>
  <c r="D83" i="8"/>
  <c r="E83" i="8"/>
  <c r="F83" i="8"/>
  <c r="G83" i="8"/>
  <c r="B84" i="8"/>
  <c r="C84" i="8"/>
  <c r="D84" i="8"/>
  <c r="E84" i="8"/>
  <c r="F84" i="8"/>
  <c r="G84" i="8"/>
  <c r="B85" i="8"/>
  <c r="C85" i="8"/>
  <c r="D85" i="8"/>
  <c r="E85" i="8"/>
  <c r="F85" i="8"/>
  <c r="G85" i="8"/>
  <c r="B86" i="8"/>
  <c r="C86" i="8"/>
  <c r="D86" i="8"/>
  <c r="E86" i="8"/>
  <c r="F86" i="8"/>
  <c r="G86" i="8"/>
  <c r="B87" i="8"/>
  <c r="C87" i="8"/>
  <c r="D87" i="8"/>
  <c r="E87" i="8"/>
  <c r="F87" i="8"/>
  <c r="G87" i="8"/>
  <c r="B88" i="8"/>
  <c r="C88" i="8"/>
  <c r="D88" i="8"/>
  <c r="E88" i="8"/>
  <c r="F88" i="8"/>
  <c r="G88" i="8"/>
  <c r="B89" i="8"/>
  <c r="C89" i="8"/>
  <c r="D89" i="8"/>
  <c r="E89" i="8"/>
  <c r="F89" i="8"/>
  <c r="G89" i="8"/>
  <c r="B90" i="8"/>
  <c r="C90" i="8"/>
  <c r="D90" i="8"/>
  <c r="E90" i="8"/>
  <c r="F90" i="8"/>
  <c r="G90" i="8"/>
  <c r="B91" i="8"/>
  <c r="C91" i="8"/>
  <c r="D91" i="8"/>
  <c r="E91" i="8"/>
  <c r="F91" i="8"/>
  <c r="G91" i="8"/>
  <c r="B92" i="8"/>
  <c r="C92" i="8"/>
  <c r="D92" i="8"/>
  <c r="E92" i="8"/>
  <c r="F92" i="8"/>
  <c r="G92" i="8"/>
  <c r="B93" i="8"/>
  <c r="C93" i="8"/>
  <c r="D93" i="8"/>
  <c r="E93" i="8"/>
  <c r="F93" i="8"/>
  <c r="G93" i="8"/>
  <c r="B94" i="8"/>
  <c r="C94" i="8"/>
  <c r="D94" i="8"/>
  <c r="E94" i="8"/>
  <c r="F94" i="8"/>
  <c r="G94" i="8"/>
  <c r="B95" i="8"/>
  <c r="C95" i="8"/>
  <c r="D95" i="8"/>
  <c r="E95" i="8"/>
  <c r="F95" i="8"/>
  <c r="G95" i="8"/>
  <c r="B96" i="8"/>
  <c r="C96" i="8"/>
  <c r="D96" i="8"/>
  <c r="E96" i="8"/>
  <c r="F96" i="8"/>
  <c r="G96" i="8"/>
  <c r="B97" i="8"/>
  <c r="C97" i="8"/>
  <c r="D97" i="8"/>
  <c r="E97" i="8"/>
  <c r="F97" i="8"/>
  <c r="G97" i="8"/>
  <c r="B98" i="8"/>
  <c r="C98" i="8"/>
  <c r="D98" i="8"/>
  <c r="E98" i="8"/>
  <c r="F98" i="8"/>
  <c r="G98" i="8"/>
  <c r="B99" i="8"/>
  <c r="C99" i="8"/>
  <c r="D99" i="8"/>
  <c r="E99" i="8"/>
  <c r="F99" i="8"/>
  <c r="G99" i="8"/>
  <c r="B100" i="8"/>
  <c r="C100" i="8"/>
  <c r="D100" i="8"/>
  <c r="E100" i="8"/>
  <c r="F100" i="8"/>
  <c r="G100" i="8"/>
  <c r="B101" i="8"/>
  <c r="C101" i="8"/>
  <c r="D101" i="8"/>
  <c r="E101" i="8"/>
  <c r="F101" i="8"/>
  <c r="G101" i="8"/>
  <c r="B102" i="8"/>
  <c r="C102" i="8"/>
  <c r="D102" i="8"/>
  <c r="E102" i="8"/>
  <c r="F102" i="8"/>
  <c r="G102" i="8"/>
  <c r="B103" i="8"/>
  <c r="C103" i="8"/>
  <c r="D103" i="8"/>
  <c r="E103" i="8"/>
  <c r="F103" i="8"/>
  <c r="G103" i="8"/>
  <c r="B104" i="8"/>
  <c r="C104" i="8"/>
  <c r="D104" i="8"/>
  <c r="E104" i="8"/>
  <c r="F104" i="8"/>
  <c r="G104" i="8"/>
  <c r="B105" i="8"/>
  <c r="C105" i="8"/>
  <c r="D105" i="8"/>
  <c r="E105" i="8"/>
  <c r="F105" i="8"/>
  <c r="G105" i="8"/>
  <c r="B106" i="8"/>
  <c r="C106" i="8"/>
  <c r="D106" i="8"/>
  <c r="E106" i="8"/>
  <c r="F106" i="8"/>
  <c r="G106" i="8"/>
  <c r="B107" i="8"/>
  <c r="C107" i="8"/>
  <c r="D107" i="8"/>
  <c r="E107" i="8"/>
  <c r="F107" i="8"/>
  <c r="G107" i="8"/>
  <c r="B108" i="8"/>
  <c r="C108" i="8"/>
  <c r="D108" i="8"/>
  <c r="E108" i="8"/>
  <c r="F108" i="8"/>
  <c r="G108" i="8"/>
  <c r="B109" i="8"/>
  <c r="C109" i="8"/>
  <c r="D109" i="8"/>
  <c r="E109" i="8"/>
  <c r="F109" i="8"/>
  <c r="G109" i="8"/>
  <c r="B110" i="8"/>
  <c r="C110" i="8"/>
  <c r="D110" i="8"/>
  <c r="E110" i="8"/>
  <c r="F110" i="8"/>
  <c r="G110" i="8"/>
  <c r="G3" i="8"/>
  <c r="F3" i="8"/>
  <c r="E3" i="8"/>
  <c r="D3" i="8"/>
  <c r="C3" i="8"/>
  <c r="B3" i="8"/>
  <c r="C112" i="7"/>
  <c r="D112" i="7"/>
  <c r="E112" i="7"/>
  <c r="F112" i="7"/>
  <c r="G112" i="7"/>
  <c r="B112" i="7"/>
</calcChain>
</file>

<file path=xl/sharedStrings.xml><?xml version="1.0" encoding="utf-8"?>
<sst xmlns="http://schemas.openxmlformats.org/spreadsheetml/2006/main" count="290" uniqueCount="51">
  <si>
    <t>Week</t>
  </si>
  <si>
    <t>Number of deaths</t>
  </si>
  <si>
    <t>2020 11</t>
  </si>
  <si>
    <t>2020 12</t>
  </si>
  <si>
    <t>2020 13</t>
  </si>
  <si>
    <t>2020 14</t>
  </si>
  <si>
    <t>2020 15</t>
  </si>
  <si>
    <t>2020 16</t>
  </si>
  <si>
    <t>2020 17</t>
  </si>
  <si>
    <t>2020 18</t>
  </si>
  <si>
    <t>2020 19</t>
  </si>
  <si>
    <t>2020 20</t>
  </si>
  <si>
    <t>2020 21</t>
  </si>
  <si>
    <t>2020 22</t>
  </si>
  <si>
    <t>2020 23</t>
  </si>
  <si>
    <t>2020 24</t>
  </si>
  <si>
    <t>2020 25</t>
  </si>
  <si>
    <t>2020 26</t>
  </si>
  <si>
    <t>2020 27</t>
  </si>
  <si>
    <t>2020 28</t>
  </si>
  <si>
    <t>2020 29</t>
  </si>
  <si>
    <t>2020 30</t>
  </si>
  <si>
    <t>2020 31</t>
  </si>
  <si>
    <t>2020 32</t>
  </si>
  <si>
    <t>2020 33</t>
  </si>
  <si>
    <t>2020 34</t>
  </si>
  <si>
    <t>2020 35</t>
  </si>
  <si>
    <t>2020 36</t>
  </si>
  <si>
    <t>2020 37</t>
  </si>
  <si>
    <t>2020 38</t>
  </si>
  <si>
    <t>2020 39</t>
  </si>
  <si>
    <t>2020 40</t>
  </si>
  <si>
    <t>2020 41</t>
  </si>
  <si>
    <t>2020 42</t>
  </si>
  <si>
    <t>2020 43</t>
  </si>
  <si>
    <t>2020 44</t>
  </si>
  <si>
    <t>2020 45</t>
  </si>
  <si>
    <t>2020 46</t>
  </si>
  <si>
    <t>2020 47</t>
  </si>
  <si>
    <t>2020 48</t>
  </si>
  <si>
    <t>2020 49</t>
  </si>
  <si>
    <t>2020 50</t>
  </si>
  <si>
    <t>2020 51</t>
  </si>
  <si>
    <t>2020 52</t>
  </si>
  <si>
    <t>2020 53</t>
  </si>
  <si>
    <t>COVID-19</t>
  </si>
  <si>
    <t>Flu and pneumonia</t>
  </si>
  <si>
    <t>All respiratory diseases</t>
  </si>
  <si>
    <t>Week ending</t>
  </si>
  <si>
    <t>Due to</t>
  </si>
  <si>
    <t>Involving but not due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</si>
</sst>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5" fontId="0" fillId="0" borderId="0" xfId="0" applyNumberFormat="1"/>
    <xf numFmtId="15" fontId="2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9BD7-074F-4DFD-A713-AC9DE0E7FDEE}">
  <dimension ref="A1:C44"/>
  <sheetViews>
    <sheetView workbookViewId="0">
      <selection activeCell="C3" sqref="C3"/>
    </sheetView>
  </sheetViews>
  <sheetFormatPr defaultRowHeight="15"/>
  <cols>
    <col min="2" max="2" width="16.21875" bestFit="1" customWidth="1"/>
    <col min="3" max="3" width="9.109375" bestFit="1" customWidth="1"/>
  </cols>
  <sheetData>
    <row r="1" spans="1:3" ht="15.75">
      <c r="A1" s="2" t="s">
        <v>0</v>
      </c>
      <c r="B1" s="2" t="s">
        <v>1</v>
      </c>
    </row>
    <row r="2" spans="1:3">
      <c r="A2" s="1" t="s">
        <v>2</v>
      </c>
      <c r="B2">
        <v>5</v>
      </c>
      <c r="C2" s="3">
        <v>43903</v>
      </c>
    </row>
    <row r="3" spans="1:3">
      <c r="A3" s="1" t="s">
        <v>3</v>
      </c>
      <c r="B3">
        <v>96</v>
      </c>
      <c r="C3" s="3">
        <v>43910</v>
      </c>
    </row>
    <row r="4" spans="1:3">
      <c r="A4" s="1" t="s">
        <v>4</v>
      </c>
      <c r="B4">
        <v>520</v>
      </c>
      <c r="C4" s="3">
        <v>43917</v>
      </c>
    </row>
    <row r="5" spans="1:3">
      <c r="A5" s="1" t="s">
        <v>5</v>
      </c>
      <c r="B5">
        <v>3334</v>
      </c>
      <c r="C5" s="3">
        <v>43924</v>
      </c>
    </row>
    <row r="6" spans="1:3">
      <c r="A6" s="1" t="s">
        <v>6</v>
      </c>
      <c r="B6">
        <v>5989</v>
      </c>
      <c r="C6" s="3">
        <v>43931</v>
      </c>
    </row>
    <row r="7" spans="1:3">
      <c r="A7" s="1" t="s">
        <v>7</v>
      </c>
      <c r="B7">
        <v>8431</v>
      </c>
      <c r="C7" s="3">
        <v>43938</v>
      </c>
    </row>
    <row r="8" spans="1:3">
      <c r="A8" s="1" t="s">
        <v>8</v>
      </c>
      <c r="B8">
        <v>7873</v>
      </c>
      <c r="C8" s="3">
        <v>43945</v>
      </c>
    </row>
    <row r="9" spans="1:3">
      <c r="A9" s="1" t="s">
        <v>9</v>
      </c>
      <c r="B9">
        <v>5687</v>
      </c>
      <c r="C9" s="3">
        <v>43952</v>
      </c>
    </row>
    <row r="10" spans="1:3">
      <c r="A10" s="1" t="s">
        <v>10</v>
      </c>
      <c r="B10">
        <v>3660</v>
      </c>
      <c r="C10" s="3">
        <v>43959</v>
      </c>
    </row>
    <row r="11" spans="1:3">
      <c r="A11" s="1" t="s">
        <v>11</v>
      </c>
      <c r="B11">
        <v>3514</v>
      </c>
      <c r="C11" s="3">
        <v>43966</v>
      </c>
    </row>
    <row r="12" spans="1:3">
      <c r="A12" s="1" t="s">
        <v>12</v>
      </c>
      <c r="B12">
        <v>2342</v>
      </c>
      <c r="C12" s="3">
        <v>43973</v>
      </c>
    </row>
    <row r="13" spans="1:3">
      <c r="A13" s="1" t="s">
        <v>13</v>
      </c>
      <c r="B13">
        <v>1630</v>
      </c>
      <c r="C13" s="3">
        <v>43980</v>
      </c>
    </row>
    <row r="14" spans="1:3">
      <c r="A14" s="1" t="s">
        <v>14</v>
      </c>
      <c r="B14">
        <v>1392</v>
      </c>
      <c r="C14" s="3">
        <v>43987</v>
      </c>
    </row>
    <row r="15" spans="1:3">
      <c r="A15" s="1" t="s">
        <v>15</v>
      </c>
      <c r="B15">
        <v>949</v>
      </c>
      <c r="C15" s="3">
        <v>43994</v>
      </c>
    </row>
    <row r="16" spans="1:3">
      <c r="A16" s="1" t="s">
        <v>16</v>
      </c>
      <c r="B16">
        <v>633</v>
      </c>
      <c r="C16" s="3">
        <v>44001</v>
      </c>
    </row>
    <row r="17" spans="1:3">
      <c r="A17" s="1" t="s">
        <v>17</v>
      </c>
      <c r="B17">
        <v>498</v>
      </c>
      <c r="C17" s="3">
        <v>44008</v>
      </c>
    </row>
    <row r="18" spans="1:3">
      <c r="A18" s="1" t="s">
        <v>18</v>
      </c>
      <c r="B18">
        <v>409</v>
      </c>
      <c r="C18" s="3">
        <v>44015</v>
      </c>
    </row>
    <row r="19" spans="1:3">
      <c r="A19" s="1" t="s">
        <v>19</v>
      </c>
      <c r="B19">
        <v>292</v>
      </c>
      <c r="C19" s="3">
        <v>44022</v>
      </c>
    </row>
    <row r="20" spans="1:3">
      <c r="A20" s="1" t="s">
        <v>20</v>
      </c>
      <c r="B20">
        <v>228</v>
      </c>
      <c r="C20" s="3">
        <v>44029</v>
      </c>
    </row>
    <row r="21" spans="1:3">
      <c r="A21" s="1" t="s">
        <v>21</v>
      </c>
      <c r="B21">
        <v>163</v>
      </c>
      <c r="C21" s="3">
        <v>44036</v>
      </c>
    </row>
    <row r="22" spans="1:3">
      <c r="A22" s="1" t="s">
        <v>22</v>
      </c>
      <c r="B22">
        <v>150</v>
      </c>
      <c r="C22" s="3">
        <v>44043</v>
      </c>
    </row>
    <row r="23" spans="1:3">
      <c r="A23" s="1" t="s">
        <v>23</v>
      </c>
      <c r="B23">
        <v>117</v>
      </c>
      <c r="C23" s="3">
        <v>44050</v>
      </c>
    </row>
    <row r="24" spans="1:3">
      <c r="A24" s="1" t="s">
        <v>24</v>
      </c>
      <c r="B24">
        <v>105</v>
      </c>
      <c r="C24" s="3">
        <v>44057</v>
      </c>
    </row>
    <row r="25" spans="1:3">
      <c r="A25" s="1" t="s">
        <v>25</v>
      </c>
      <c r="B25">
        <v>98</v>
      </c>
      <c r="C25" s="3">
        <v>44064</v>
      </c>
    </row>
    <row r="26" spans="1:3">
      <c r="A26" s="1" t="s">
        <v>26</v>
      </c>
      <c r="B26">
        <v>77</v>
      </c>
      <c r="C26" s="3">
        <v>44071</v>
      </c>
    </row>
    <row r="27" spans="1:3">
      <c r="A27" s="1" t="s">
        <v>27</v>
      </c>
      <c r="B27">
        <v>69</v>
      </c>
      <c r="C27" s="3">
        <v>44078</v>
      </c>
    </row>
    <row r="28" spans="1:3">
      <c r="A28" s="1" t="s">
        <v>28</v>
      </c>
      <c r="B28">
        <v>80</v>
      </c>
      <c r="C28" s="3">
        <v>44085</v>
      </c>
    </row>
    <row r="29" spans="1:3">
      <c r="A29" s="1" t="s">
        <v>29</v>
      </c>
      <c r="B29">
        <v>119</v>
      </c>
      <c r="C29" s="3">
        <v>44092</v>
      </c>
    </row>
    <row r="30" spans="1:3">
      <c r="A30" s="1" t="s">
        <v>30</v>
      </c>
      <c r="B30">
        <v>186</v>
      </c>
      <c r="C30" s="3">
        <v>44099</v>
      </c>
    </row>
    <row r="31" spans="1:3">
      <c r="A31" s="1" t="s">
        <v>31</v>
      </c>
      <c r="B31">
        <v>285</v>
      </c>
      <c r="C31" s="3">
        <v>44106</v>
      </c>
    </row>
    <row r="32" spans="1:3">
      <c r="A32" s="1" t="s">
        <v>32</v>
      </c>
      <c r="B32">
        <v>398</v>
      </c>
      <c r="C32" s="3">
        <v>44113</v>
      </c>
    </row>
    <row r="33" spans="1:3">
      <c r="A33" s="1" t="s">
        <v>33</v>
      </c>
      <c r="B33">
        <v>603</v>
      </c>
      <c r="C33" s="3">
        <v>44120</v>
      </c>
    </row>
    <row r="34" spans="1:3">
      <c r="A34" s="1" t="s">
        <v>34</v>
      </c>
      <c r="B34">
        <v>885</v>
      </c>
      <c r="C34" s="3">
        <v>44127</v>
      </c>
    </row>
    <row r="35" spans="1:3">
      <c r="A35" s="1" t="s">
        <v>35</v>
      </c>
      <c r="B35">
        <v>1209</v>
      </c>
      <c r="C35" s="3">
        <v>44134</v>
      </c>
    </row>
    <row r="36" spans="1:3">
      <c r="A36" s="1" t="s">
        <v>36</v>
      </c>
      <c r="B36">
        <v>1762</v>
      </c>
      <c r="C36" s="3">
        <v>44141</v>
      </c>
    </row>
    <row r="37" spans="1:3">
      <c r="A37" s="1" t="s">
        <v>37</v>
      </c>
      <c r="B37">
        <v>2195</v>
      </c>
      <c r="C37" s="3">
        <v>44148</v>
      </c>
    </row>
    <row r="38" spans="1:3">
      <c r="A38" s="1" t="s">
        <v>38</v>
      </c>
      <c r="B38">
        <v>2384</v>
      </c>
      <c r="C38" s="3">
        <v>44155</v>
      </c>
    </row>
    <row r="39" spans="1:3">
      <c r="A39" s="1" t="s">
        <v>39</v>
      </c>
      <c r="B39">
        <v>2668</v>
      </c>
      <c r="C39" s="3">
        <v>44162</v>
      </c>
    </row>
    <row r="40" spans="1:3">
      <c r="A40" s="1" t="s">
        <v>40</v>
      </c>
      <c r="B40">
        <v>2507</v>
      </c>
      <c r="C40" s="3">
        <v>44169</v>
      </c>
    </row>
    <row r="41" spans="1:3">
      <c r="A41" s="1" t="s">
        <v>41</v>
      </c>
      <c r="B41">
        <v>2363</v>
      </c>
      <c r="C41" s="3">
        <v>44176</v>
      </c>
    </row>
    <row r="42" spans="1:3">
      <c r="A42" s="1" t="s">
        <v>42</v>
      </c>
      <c r="B42">
        <v>2600</v>
      </c>
      <c r="C42" s="3">
        <v>44183</v>
      </c>
    </row>
    <row r="43" spans="1:3">
      <c r="A43" s="1" t="s">
        <v>43</v>
      </c>
      <c r="B43">
        <v>2523</v>
      </c>
      <c r="C43" s="3">
        <v>44190</v>
      </c>
    </row>
    <row r="44" spans="1:3">
      <c r="A44" s="1" t="s">
        <v>44</v>
      </c>
      <c r="B44">
        <v>2752</v>
      </c>
      <c r="C44" s="3">
        <v>44197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61424-AFCA-4BD7-B7C2-0B7932D3BBE7}">
  <dimension ref="A1:B44"/>
  <sheetViews>
    <sheetView workbookViewId="0">
      <selection activeCell="C3" sqref="C3"/>
    </sheetView>
  </sheetViews>
  <sheetFormatPr defaultRowHeight="15"/>
  <cols>
    <col min="2" max="2" width="16.21875" bestFit="1" customWidth="1"/>
  </cols>
  <sheetData>
    <row r="1" spans="1:2" ht="15.75">
      <c r="A1" s="2" t="s">
        <v>0</v>
      </c>
      <c r="B1" s="2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107</v>
      </c>
    </row>
    <row r="4" spans="1:2">
      <c r="A4" t="s">
        <v>4</v>
      </c>
      <c r="B4">
        <v>553</v>
      </c>
    </row>
    <row r="5" spans="1:2">
      <c r="A5" t="s">
        <v>5</v>
      </c>
      <c r="B5">
        <v>3504</v>
      </c>
    </row>
    <row r="6" spans="1:2">
      <c r="A6" t="s">
        <v>6</v>
      </c>
      <c r="B6">
        <v>6243</v>
      </c>
    </row>
    <row r="7" spans="1:2">
      <c r="A7" t="s">
        <v>7</v>
      </c>
      <c r="B7">
        <v>8802</v>
      </c>
    </row>
    <row r="8" spans="1:2">
      <c r="A8" t="s">
        <v>8</v>
      </c>
      <c r="B8">
        <v>8294</v>
      </c>
    </row>
    <row r="9" spans="1:2">
      <c r="A9" t="s">
        <v>9</v>
      </c>
      <c r="B9">
        <v>6091</v>
      </c>
    </row>
    <row r="10" spans="1:2">
      <c r="A10" t="s">
        <v>10</v>
      </c>
      <c r="B10">
        <v>3964</v>
      </c>
    </row>
    <row r="11" spans="1:2">
      <c r="A11" t="s">
        <v>11</v>
      </c>
      <c r="B11">
        <v>3848</v>
      </c>
    </row>
    <row r="12" spans="1:2">
      <c r="A12" t="s">
        <v>12</v>
      </c>
      <c r="B12">
        <v>2630</v>
      </c>
    </row>
    <row r="13" spans="1:2">
      <c r="A13" t="s">
        <v>13</v>
      </c>
      <c r="B13">
        <v>1847</v>
      </c>
    </row>
    <row r="14" spans="1:2">
      <c r="A14" t="s">
        <v>14</v>
      </c>
      <c r="B14">
        <v>1618</v>
      </c>
    </row>
    <row r="15" spans="1:2">
      <c r="A15" t="s">
        <v>15</v>
      </c>
      <c r="B15">
        <v>1138</v>
      </c>
    </row>
    <row r="16" spans="1:2">
      <c r="A16" t="s">
        <v>16</v>
      </c>
      <c r="B16">
        <v>796</v>
      </c>
    </row>
    <row r="17" spans="1:2">
      <c r="A17" t="s">
        <v>17</v>
      </c>
      <c r="B17">
        <v>618</v>
      </c>
    </row>
    <row r="18" spans="1:2">
      <c r="A18" t="s">
        <v>18</v>
      </c>
      <c r="B18">
        <v>541</v>
      </c>
    </row>
    <row r="19" spans="1:2">
      <c r="A19" t="s">
        <v>19</v>
      </c>
      <c r="B19">
        <v>381</v>
      </c>
    </row>
    <row r="20" spans="1:2">
      <c r="A20" t="s">
        <v>20</v>
      </c>
      <c r="B20">
        <v>303</v>
      </c>
    </row>
    <row r="21" spans="1:2">
      <c r="A21" t="s">
        <v>21</v>
      </c>
      <c r="B21">
        <v>224</v>
      </c>
    </row>
    <row r="22" spans="1:2">
      <c r="A22" t="s">
        <v>22</v>
      </c>
      <c r="B22">
        <v>203</v>
      </c>
    </row>
    <row r="23" spans="1:2">
      <c r="A23" t="s">
        <v>23</v>
      </c>
      <c r="B23">
        <v>163</v>
      </c>
    </row>
    <row r="24" spans="1:2">
      <c r="A24" t="s">
        <v>24</v>
      </c>
      <c r="B24">
        <v>151</v>
      </c>
    </row>
    <row r="25" spans="1:2">
      <c r="A25" t="s">
        <v>25</v>
      </c>
      <c r="B25">
        <v>145</v>
      </c>
    </row>
    <row r="26" spans="1:2">
      <c r="A26" t="s">
        <v>26</v>
      </c>
      <c r="B26">
        <v>109</v>
      </c>
    </row>
    <row r="27" spans="1:2">
      <c r="A27" t="s">
        <v>27</v>
      </c>
      <c r="B27">
        <v>86</v>
      </c>
    </row>
    <row r="28" spans="1:2">
      <c r="A28" t="s">
        <v>28</v>
      </c>
      <c r="B28">
        <v>106</v>
      </c>
    </row>
    <row r="29" spans="1:2">
      <c r="A29" t="s">
        <v>29</v>
      </c>
      <c r="B29">
        <v>150</v>
      </c>
    </row>
    <row r="30" spans="1:2">
      <c r="A30" t="s">
        <v>30</v>
      </c>
      <c r="B30">
        <v>221</v>
      </c>
    </row>
    <row r="31" spans="1:2">
      <c r="A31" t="s">
        <v>31</v>
      </c>
      <c r="B31">
        <v>329</v>
      </c>
    </row>
    <row r="32" spans="1:2">
      <c r="A32" t="s">
        <v>32</v>
      </c>
      <c r="B32">
        <v>450</v>
      </c>
    </row>
    <row r="33" spans="1:2">
      <c r="A33" t="s">
        <v>33</v>
      </c>
      <c r="B33">
        <v>682</v>
      </c>
    </row>
    <row r="34" spans="1:2">
      <c r="A34" t="s">
        <v>34</v>
      </c>
      <c r="B34">
        <v>995</v>
      </c>
    </row>
    <row r="35" spans="1:2">
      <c r="A35" t="s">
        <v>35</v>
      </c>
      <c r="B35">
        <v>1396</v>
      </c>
    </row>
    <row r="36" spans="1:2">
      <c r="A36" t="s">
        <v>36</v>
      </c>
      <c r="B36">
        <v>1961</v>
      </c>
    </row>
    <row r="37" spans="1:2">
      <c r="A37" t="s">
        <v>37</v>
      </c>
      <c r="B37">
        <v>2488</v>
      </c>
    </row>
    <row r="38" spans="1:2">
      <c r="A38" t="s">
        <v>38</v>
      </c>
      <c r="B38">
        <v>2721</v>
      </c>
    </row>
    <row r="39" spans="1:2">
      <c r="A39" t="s">
        <v>39</v>
      </c>
      <c r="B39">
        <v>3074</v>
      </c>
    </row>
    <row r="40" spans="1:2">
      <c r="A40" t="s">
        <v>40</v>
      </c>
      <c r="B40">
        <v>2885</v>
      </c>
    </row>
    <row r="41" spans="1:2">
      <c r="A41" t="s">
        <v>41</v>
      </c>
      <c r="B41">
        <v>2793</v>
      </c>
    </row>
    <row r="42" spans="1:2">
      <c r="A42" t="s">
        <v>42</v>
      </c>
      <c r="B42">
        <v>3035</v>
      </c>
    </row>
    <row r="43" spans="1:2">
      <c r="A43" t="s">
        <v>43</v>
      </c>
      <c r="B43">
        <v>2935</v>
      </c>
    </row>
    <row r="44" spans="1:2">
      <c r="A44" t="s">
        <v>44</v>
      </c>
      <c r="B44">
        <v>3154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E3A4-343A-48B7-A7D2-702BB25B1A09}">
  <dimension ref="A1:B44"/>
  <sheetViews>
    <sheetView workbookViewId="0">
      <selection activeCell="E3" sqref="E3"/>
    </sheetView>
  </sheetViews>
  <sheetFormatPr defaultRowHeight="15"/>
  <cols>
    <col min="2" max="2" width="16.21875" bestFit="1" customWidth="1"/>
  </cols>
  <sheetData>
    <row r="1" spans="1:2" ht="15.75">
      <c r="A1" s="2" t="s">
        <v>0</v>
      </c>
      <c r="B1" s="2" t="s">
        <v>1</v>
      </c>
    </row>
    <row r="2" spans="1:2">
      <c r="A2" t="s">
        <v>2</v>
      </c>
      <c r="B2">
        <v>532</v>
      </c>
    </row>
    <row r="3" spans="1:2">
      <c r="A3" t="s">
        <v>3</v>
      </c>
      <c r="B3">
        <v>580</v>
      </c>
    </row>
    <row r="4" spans="1:2">
      <c r="A4" t="s">
        <v>4</v>
      </c>
      <c r="B4">
        <v>571</v>
      </c>
    </row>
    <row r="5" spans="1:2">
      <c r="A5" t="s">
        <v>5</v>
      </c>
      <c r="B5">
        <v>703</v>
      </c>
    </row>
    <row r="6" spans="1:2">
      <c r="A6" t="s">
        <v>6</v>
      </c>
      <c r="B6">
        <v>611</v>
      </c>
    </row>
    <row r="7" spans="1:2">
      <c r="A7" t="s">
        <v>7</v>
      </c>
      <c r="B7">
        <v>541</v>
      </c>
    </row>
    <row r="8" spans="1:2">
      <c r="A8" t="s">
        <v>8</v>
      </c>
      <c r="B8">
        <v>481</v>
      </c>
    </row>
    <row r="9" spans="1:2">
      <c r="A9" t="s">
        <v>9</v>
      </c>
      <c r="B9">
        <v>400</v>
      </c>
    </row>
    <row r="10" spans="1:2">
      <c r="A10" t="s">
        <v>10</v>
      </c>
      <c r="B10">
        <v>278</v>
      </c>
    </row>
    <row r="11" spans="1:2">
      <c r="A11" t="s">
        <v>11</v>
      </c>
      <c r="B11">
        <v>314</v>
      </c>
    </row>
    <row r="12" spans="1:2">
      <c r="A12" t="s">
        <v>12</v>
      </c>
      <c r="B12">
        <v>300</v>
      </c>
    </row>
    <row r="13" spans="1:2">
      <c r="A13" t="s">
        <v>13</v>
      </c>
      <c r="B13">
        <v>251</v>
      </c>
    </row>
    <row r="14" spans="1:2">
      <c r="A14" t="s">
        <v>14</v>
      </c>
      <c r="B14">
        <v>312</v>
      </c>
    </row>
    <row r="15" spans="1:2">
      <c r="A15" t="s">
        <v>15</v>
      </c>
      <c r="B15">
        <v>250</v>
      </c>
    </row>
    <row r="16" spans="1:2">
      <c r="A16" t="s">
        <v>16</v>
      </c>
      <c r="B16">
        <v>278</v>
      </c>
    </row>
    <row r="17" spans="1:2">
      <c r="A17" t="s">
        <v>17</v>
      </c>
      <c r="B17">
        <v>233</v>
      </c>
    </row>
    <row r="18" spans="1:2">
      <c r="A18" t="s">
        <v>18</v>
      </c>
      <c r="B18">
        <v>269</v>
      </c>
    </row>
    <row r="19" spans="1:2">
      <c r="A19" t="s">
        <v>19</v>
      </c>
      <c r="B19">
        <v>227</v>
      </c>
    </row>
    <row r="20" spans="1:2">
      <c r="A20" t="s">
        <v>20</v>
      </c>
      <c r="B20">
        <v>207</v>
      </c>
    </row>
    <row r="21" spans="1:2">
      <c r="A21" t="s">
        <v>21</v>
      </c>
      <c r="B21">
        <v>244</v>
      </c>
    </row>
    <row r="22" spans="1:2">
      <c r="A22" t="s">
        <v>22</v>
      </c>
      <c r="B22">
        <v>219</v>
      </c>
    </row>
    <row r="23" spans="1:2">
      <c r="A23" t="s">
        <v>23</v>
      </c>
      <c r="B23">
        <v>237</v>
      </c>
    </row>
    <row r="24" spans="1:2">
      <c r="A24" t="s">
        <v>24</v>
      </c>
      <c r="B24">
        <v>254</v>
      </c>
    </row>
    <row r="25" spans="1:2">
      <c r="A25" t="s">
        <v>25</v>
      </c>
      <c r="B25">
        <v>292</v>
      </c>
    </row>
    <row r="26" spans="1:2">
      <c r="A26" t="s">
        <v>26</v>
      </c>
      <c r="B26">
        <v>231</v>
      </c>
    </row>
    <row r="27" spans="1:2">
      <c r="A27" t="s">
        <v>27</v>
      </c>
      <c r="B27">
        <v>215</v>
      </c>
    </row>
    <row r="28" spans="1:2">
      <c r="A28" t="s">
        <v>28</v>
      </c>
      <c r="B28">
        <v>283</v>
      </c>
    </row>
    <row r="29" spans="1:2">
      <c r="A29" t="s">
        <v>29</v>
      </c>
      <c r="B29">
        <v>291</v>
      </c>
    </row>
    <row r="30" spans="1:2">
      <c r="A30" t="s">
        <v>30</v>
      </c>
      <c r="B30">
        <v>267</v>
      </c>
    </row>
    <row r="31" spans="1:2">
      <c r="A31" t="s">
        <v>31</v>
      </c>
      <c r="B31">
        <v>292</v>
      </c>
    </row>
    <row r="32" spans="1:2">
      <c r="A32" t="s">
        <v>32</v>
      </c>
      <c r="B32">
        <v>314</v>
      </c>
    </row>
    <row r="33" spans="1:2">
      <c r="A33" t="s">
        <v>33</v>
      </c>
      <c r="B33">
        <v>337</v>
      </c>
    </row>
    <row r="34" spans="1:2">
      <c r="A34" t="s">
        <v>34</v>
      </c>
      <c r="B34">
        <v>303</v>
      </c>
    </row>
    <row r="35" spans="1:2">
      <c r="A35" t="s">
        <v>35</v>
      </c>
      <c r="B35">
        <v>293</v>
      </c>
    </row>
    <row r="36" spans="1:2">
      <c r="A36" t="s">
        <v>36</v>
      </c>
      <c r="B36">
        <v>311</v>
      </c>
    </row>
    <row r="37" spans="1:2">
      <c r="A37" t="s">
        <v>37</v>
      </c>
      <c r="B37">
        <v>293</v>
      </c>
    </row>
    <row r="38" spans="1:2">
      <c r="A38" t="s">
        <v>38</v>
      </c>
      <c r="B38">
        <v>283</v>
      </c>
    </row>
    <row r="39" spans="1:2">
      <c r="A39" t="s">
        <v>39</v>
      </c>
      <c r="B39">
        <v>290</v>
      </c>
    </row>
    <row r="40" spans="1:2">
      <c r="A40" t="s">
        <v>40</v>
      </c>
      <c r="B40">
        <v>273</v>
      </c>
    </row>
    <row r="41" spans="1:2">
      <c r="A41" t="s">
        <v>41</v>
      </c>
      <c r="B41">
        <v>322</v>
      </c>
    </row>
    <row r="42" spans="1:2">
      <c r="A42" t="s">
        <v>42</v>
      </c>
      <c r="B42">
        <v>300</v>
      </c>
    </row>
    <row r="43" spans="1:2">
      <c r="A43" t="s">
        <v>43</v>
      </c>
      <c r="B43">
        <v>276</v>
      </c>
    </row>
    <row r="44" spans="1:2">
      <c r="A44" t="s">
        <v>44</v>
      </c>
      <c r="B44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C6F3-6705-4F43-8584-15FD055175CB}">
  <dimension ref="A1:B44"/>
  <sheetViews>
    <sheetView workbookViewId="0">
      <selection activeCell="E3" sqref="E3"/>
    </sheetView>
  </sheetViews>
  <sheetFormatPr defaultRowHeight="15"/>
  <cols>
    <col min="2" max="2" width="16.21875" bestFit="1" customWidth="1"/>
  </cols>
  <sheetData>
    <row r="1" spans="1:2" ht="15.75">
      <c r="A1" s="2" t="s">
        <v>0</v>
      </c>
      <c r="B1" s="2" t="s">
        <v>1</v>
      </c>
    </row>
    <row r="2" spans="1:2">
      <c r="A2" t="s">
        <v>2</v>
      </c>
      <c r="B2">
        <v>1962</v>
      </c>
    </row>
    <row r="3" spans="1:2">
      <c r="A3" t="s">
        <v>3</v>
      </c>
      <c r="B3">
        <v>1941</v>
      </c>
    </row>
    <row r="4" spans="1:2">
      <c r="A4" t="s">
        <v>4</v>
      </c>
      <c r="B4">
        <v>2190</v>
      </c>
    </row>
    <row r="5" spans="1:2">
      <c r="A5" t="s">
        <v>5</v>
      </c>
      <c r="B5">
        <v>3897</v>
      </c>
    </row>
    <row r="6" spans="1:2">
      <c r="A6" t="s">
        <v>6</v>
      </c>
      <c r="B6">
        <v>4417</v>
      </c>
    </row>
    <row r="7" spans="1:2">
      <c r="A7" t="s">
        <v>7</v>
      </c>
      <c r="B7">
        <v>5215</v>
      </c>
    </row>
    <row r="8" spans="1:2">
      <c r="A8" t="s">
        <v>8</v>
      </c>
      <c r="B8">
        <v>4727</v>
      </c>
    </row>
    <row r="9" spans="1:2">
      <c r="A9" t="s">
        <v>9</v>
      </c>
      <c r="B9">
        <v>3619</v>
      </c>
    </row>
    <row r="10" spans="1:2">
      <c r="A10" t="s">
        <v>10</v>
      </c>
      <c r="B10">
        <v>2374</v>
      </c>
    </row>
    <row r="11" spans="1:2">
      <c r="A11" t="s">
        <v>11</v>
      </c>
      <c r="B11">
        <v>2688</v>
      </c>
    </row>
    <row r="12" spans="1:2">
      <c r="A12" t="s">
        <v>12</v>
      </c>
      <c r="B12">
        <v>2063</v>
      </c>
    </row>
    <row r="13" spans="1:2">
      <c r="A13" t="s">
        <v>13</v>
      </c>
      <c r="B13">
        <v>1678</v>
      </c>
    </row>
    <row r="14" spans="1:2">
      <c r="A14" t="s">
        <v>14</v>
      </c>
      <c r="B14">
        <v>1721</v>
      </c>
    </row>
    <row r="15" spans="1:2">
      <c r="A15" t="s">
        <v>15</v>
      </c>
      <c r="B15">
        <v>1520</v>
      </c>
    </row>
    <row r="16" spans="1:2">
      <c r="A16" t="s">
        <v>16</v>
      </c>
      <c r="B16">
        <v>1389</v>
      </c>
    </row>
    <row r="17" spans="1:2">
      <c r="A17" t="s">
        <v>17</v>
      </c>
      <c r="B17">
        <v>1248</v>
      </c>
    </row>
    <row r="18" spans="1:2">
      <c r="A18" t="s">
        <v>18</v>
      </c>
      <c r="B18">
        <v>1295</v>
      </c>
    </row>
    <row r="19" spans="1:2">
      <c r="A19" t="s">
        <v>19</v>
      </c>
      <c r="B19">
        <v>1175</v>
      </c>
    </row>
    <row r="20" spans="1:2">
      <c r="A20" t="s">
        <v>20</v>
      </c>
      <c r="B20">
        <v>1103</v>
      </c>
    </row>
    <row r="21" spans="1:2">
      <c r="A21" t="s">
        <v>21</v>
      </c>
      <c r="B21">
        <v>1115</v>
      </c>
    </row>
    <row r="22" spans="1:2">
      <c r="A22" t="s">
        <v>22</v>
      </c>
      <c r="B22">
        <v>1088</v>
      </c>
    </row>
    <row r="23" spans="1:2">
      <c r="A23" t="s">
        <v>23</v>
      </c>
      <c r="B23">
        <v>1093</v>
      </c>
    </row>
    <row r="24" spans="1:2">
      <c r="A24" t="s">
        <v>24</v>
      </c>
      <c r="B24">
        <v>1151</v>
      </c>
    </row>
    <row r="25" spans="1:2">
      <c r="A25" t="s">
        <v>25</v>
      </c>
      <c r="B25">
        <v>1310</v>
      </c>
    </row>
    <row r="26" spans="1:2">
      <c r="A26" t="s">
        <v>26</v>
      </c>
      <c r="B26">
        <v>1162</v>
      </c>
    </row>
    <row r="27" spans="1:2">
      <c r="A27" t="s">
        <v>27</v>
      </c>
      <c r="B27">
        <v>969</v>
      </c>
    </row>
    <row r="28" spans="1:2">
      <c r="A28" t="s">
        <v>28</v>
      </c>
      <c r="B28">
        <v>1258</v>
      </c>
    </row>
    <row r="29" spans="1:2">
      <c r="A29" t="s">
        <v>29</v>
      </c>
      <c r="B29">
        <v>1254</v>
      </c>
    </row>
    <row r="30" spans="1:2">
      <c r="A30" t="s">
        <v>30</v>
      </c>
      <c r="B30">
        <v>1331</v>
      </c>
    </row>
    <row r="31" spans="1:2">
      <c r="A31" t="s">
        <v>31</v>
      </c>
      <c r="B31">
        <v>1411</v>
      </c>
    </row>
    <row r="32" spans="1:2">
      <c r="A32" t="s">
        <v>32</v>
      </c>
      <c r="B32">
        <v>1496</v>
      </c>
    </row>
    <row r="33" spans="1:2">
      <c r="A33" t="s">
        <v>33</v>
      </c>
      <c r="B33">
        <v>1709</v>
      </c>
    </row>
    <row r="34" spans="1:2">
      <c r="A34" t="s">
        <v>34</v>
      </c>
      <c r="B34">
        <v>1803</v>
      </c>
    </row>
    <row r="35" spans="1:2">
      <c r="A35" t="s">
        <v>35</v>
      </c>
      <c r="B35">
        <v>2006</v>
      </c>
    </row>
    <row r="36" spans="1:2">
      <c r="A36" t="s">
        <v>36</v>
      </c>
      <c r="B36">
        <v>2350</v>
      </c>
    </row>
    <row r="37" spans="1:2">
      <c r="A37" t="s">
        <v>37</v>
      </c>
      <c r="B37">
        <v>2635</v>
      </c>
    </row>
    <row r="38" spans="1:2">
      <c r="A38" t="s">
        <v>38</v>
      </c>
      <c r="B38">
        <v>2678</v>
      </c>
    </row>
    <row r="39" spans="1:2">
      <c r="A39" t="s">
        <v>39</v>
      </c>
      <c r="B39">
        <v>2783</v>
      </c>
    </row>
    <row r="40" spans="1:2">
      <c r="A40" t="s">
        <v>40</v>
      </c>
      <c r="B40">
        <v>2733</v>
      </c>
    </row>
    <row r="41" spans="1:2">
      <c r="A41" t="s">
        <v>41</v>
      </c>
      <c r="B41">
        <v>2686</v>
      </c>
    </row>
    <row r="42" spans="1:2">
      <c r="A42" t="s">
        <v>42</v>
      </c>
      <c r="B42">
        <v>2854</v>
      </c>
    </row>
    <row r="43" spans="1:2">
      <c r="A43" t="s">
        <v>43</v>
      </c>
      <c r="B43">
        <v>2681</v>
      </c>
    </row>
    <row r="44" spans="1:2">
      <c r="A44" t="s">
        <v>44</v>
      </c>
      <c r="B44">
        <v>2530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8221-8445-4D7C-8149-CE0A3054AA41}">
  <dimension ref="A1:B44"/>
  <sheetViews>
    <sheetView workbookViewId="0">
      <selection activeCell="G3" sqref="G3"/>
    </sheetView>
  </sheetViews>
  <sheetFormatPr defaultRowHeight="15"/>
  <cols>
    <col min="2" max="2" width="16.21875" bestFit="1" customWidth="1"/>
  </cols>
  <sheetData>
    <row r="1" spans="1:2" ht="15.75">
      <c r="A1" s="2" t="s">
        <v>0</v>
      </c>
      <c r="B1" s="2" t="s">
        <v>1</v>
      </c>
    </row>
    <row r="2" spans="1:2">
      <c r="A2" s="1" t="s">
        <v>2</v>
      </c>
      <c r="B2">
        <v>1508</v>
      </c>
    </row>
    <row r="3" spans="1:2">
      <c r="A3" s="1" t="s">
        <v>3</v>
      </c>
      <c r="B3">
        <v>1545</v>
      </c>
    </row>
    <row r="4" spans="1:2">
      <c r="A4" s="1" t="s">
        <v>4</v>
      </c>
      <c r="B4">
        <v>1537</v>
      </c>
    </row>
    <row r="5" spans="1:2">
      <c r="A5" s="1" t="s">
        <v>5</v>
      </c>
      <c r="B5">
        <v>1966</v>
      </c>
    </row>
    <row r="6" spans="1:2">
      <c r="A6" s="1" t="s">
        <v>6</v>
      </c>
      <c r="B6">
        <v>1763</v>
      </c>
    </row>
    <row r="7" spans="1:2">
      <c r="A7" s="1" t="s">
        <v>7</v>
      </c>
      <c r="B7">
        <v>1788</v>
      </c>
    </row>
    <row r="8" spans="1:2">
      <c r="A8" s="1" t="s">
        <v>8</v>
      </c>
      <c r="B8">
        <v>1586</v>
      </c>
    </row>
    <row r="9" spans="1:2">
      <c r="A9" s="1" t="s">
        <v>9</v>
      </c>
      <c r="B9">
        <v>1287</v>
      </c>
    </row>
    <row r="10" spans="1:2">
      <c r="A10" s="1" t="s">
        <v>10</v>
      </c>
      <c r="B10">
        <v>947</v>
      </c>
    </row>
    <row r="11" spans="1:2">
      <c r="A11" s="1" t="s">
        <v>11</v>
      </c>
      <c r="B11">
        <v>1159</v>
      </c>
    </row>
    <row r="12" spans="1:2">
      <c r="A12" s="1" t="s">
        <v>12</v>
      </c>
      <c r="B12">
        <v>976</v>
      </c>
    </row>
    <row r="13" spans="1:2">
      <c r="A13" s="1" t="s">
        <v>13</v>
      </c>
      <c r="B13">
        <v>808</v>
      </c>
    </row>
    <row r="14" spans="1:2">
      <c r="A14" s="1" t="s">
        <v>14</v>
      </c>
      <c r="B14">
        <v>960</v>
      </c>
    </row>
    <row r="15" spans="1:2">
      <c r="A15" s="1" t="s">
        <v>15</v>
      </c>
      <c r="B15">
        <v>863</v>
      </c>
    </row>
    <row r="16" spans="1:2">
      <c r="A16" s="1" t="s">
        <v>16</v>
      </c>
      <c r="B16">
        <v>861</v>
      </c>
    </row>
    <row r="17" spans="1:2">
      <c r="A17" s="1" t="s">
        <v>17</v>
      </c>
      <c r="B17">
        <v>807</v>
      </c>
    </row>
    <row r="18" spans="1:2">
      <c r="A18" s="1" t="s">
        <v>18</v>
      </c>
      <c r="B18">
        <v>861</v>
      </c>
    </row>
    <row r="19" spans="1:2">
      <c r="A19" s="1" t="s">
        <v>19</v>
      </c>
      <c r="B19">
        <v>812</v>
      </c>
    </row>
    <row r="20" spans="1:2">
      <c r="A20" s="1" t="s">
        <v>20</v>
      </c>
      <c r="B20">
        <v>746</v>
      </c>
    </row>
    <row r="21" spans="1:2">
      <c r="A21" s="1" t="s">
        <v>21</v>
      </c>
      <c r="B21">
        <v>821</v>
      </c>
    </row>
    <row r="22" spans="1:2">
      <c r="A22" s="1" t="s">
        <v>22</v>
      </c>
      <c r="B22">
        <v>790</v>
      </c>
    </row>
    <row r="23" spans="1:2">
      <c r="A23" s="1" t="s">
        <v>23</v>
      </c>
      <c r="B23">
        <v>809</v>
      </c>
    </row>
    <row r="24" spans="1:2">
      <c r="A24" s="1" t="s">
        <v>24</v>
      </c>
      <c r="B24">
        <v>870</v>
      </c>
    </row>
    <row r="25" spans="1:2">
      <c r="A25" s="1" t="s">
        <v>25</v>
      </c>
      <c r="B25">
        <v>971</v>
      </c>
    </row>
    <row r="26" spans="1:2">
      <c r="A26" s="1" t="s">
        <v>26</v>
      </c>
      <c r="B26">
        <v>808</v>
      </c>
    </row>
    <row r="27" spans="1:2">
      <c r="A27" s="1" t="s">
        <v>27</v>
      </c>
      <c r="B27">
        <v>711</v>
      </c>
    </row>
    <row r="28" spans="1:2">
      <c r="A28" s="1" t="s">
        <v>28</v>
      </c>
      <c r="B28">
        <v>911</v>
      </c>
    </row>
    <row r="29" spans="1:2">
      <c r="A29" s="1" t="s">
        <v>29</v>
      </c>
      <c r="B29">
        <v>952</v>
      </c>
    </row>
    <row r="30" spans="1:2">
      <c r="A30" s="1" t="s">
        <v>30</v>
      </c>
      <c r="B30">
        <v>956</v>
      </c>
    </row>
    <row r="31" spans="1:2">
      <c r="A31" s="1" t="s">
        <v>31</v>
      </c>
      <c r="B31">
        <v>914</v>
      </c>
    </row>
    <row r="32" spans="1:2">
      <c r="A32" s="1" t="s">
        <v>32</v>
      </c>
      <c r="B32">
        <v>998</v>
      </c>
    </row>
    <row r="33" spans="1:2">
      <c r="A33" s="1" t="s">
        <v>33</v>
      </c>
      <c r="B33">
        <v>1030</v>
      </c>
    </row>
    <row r="34" spans="1:2">
      <c r="A34" s="1" t="s">
        <v>34</v>
      </c>
      <c r="B34">
        <v>993</v>
      </c>
    </row>
    <row r="35" spans="1:2">
      <c r="A35" s="1" t="s">
        <v>35</v>
      </c>
      <c r="B35">
        <v>1015</v>
      </c>
    </row>
    <row r="36" spans="1:2">
      <c r="A36" s="1" t="s">
        <v>36</v>
      </c>
      <c r="B36">
        <v>1025</v>
      </c>
    </row>
    <row r="37" spans="1:2">
      <c r="A37" s="1" t="s">
        <v>37</v>
      </c>
      <c r="B37">
        <v>995</v>
      </c>
    </row>
    <row r="38" spans="1:2">
      <c r="A38" s="1" t="s">
        <v>38</v>
      </c>
      <c r="B38">
        <v>937</v>
      </c>
    </row>
    <row r="39" spans="1:2">
      <c r="A39" s="1" t="s">
        <v>39</v>
      </c>
      <c r="B39">
        <v>938</v>
      </c>
    </row>
    <row r="40" spans="1:2">
      <c r="A40" s="1" t="s">
        <v>40</v>
      </c>
      <c r="B40">
        <v>904</v>
      </c>
    </row>
    <row r="41" spans="1:2">
      <c r="A41" s="1" t="s">
        <v>41</v>
      </c>
      <c r="B41">
        <v>975</v>
      </c>
    </row>
    <row r="42" spans="1:2">
      <c r="A42" s="1" t="s">
        <v>42</v>
      </c>
      <c r="B42">
        <v>1005</v>
      </c>
    </row>
    <row r="43" spans="1:2">
      <c r="A43" s="1" t="s">
        <v>43</v>
      </c>
      <c r="B43">
        <v>902</v>
      </c>
    </row>
    <row r="44" spans="1:2">
      <c r="A44" s="1" t="s">
        <v>44</v>
      </c>
      <c r="B44">
        <v>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9B55-B305-4552-AE4F-2673E7F8B0AF}">
  <dimension ref="A1:B44"/>
  <sheetViews>
    <sheetView workbookViewId="0">
      <selection activeCell="G3" sqref="G3"/>
    </sheetView>
  </sheetViews>
  <sheetFormatPr defaultRowHeight="15"/>
  <cols>
    <col min="2" max="2" width="16.21875" bestFit="1" customWidth="1"/>
  </cols>
  <sheetData>
    <row r="1" spans="1:2" ht="15.75">
      <c r="A1" s="2" t="s">
        <v>0</v>
      </c>
      <c r="B1" s="2" t="s">
        <v>1</v>
      </c>
    </row>
    <row r="2" spans="1:2">
      <c r="A2" s="1" t="s">
        <v>2</v>
      </c>
      <c r="B2">
        <v>3800</v>
      </c>
    </row>
    <row r="3" spans="1:2">
      <c r="A3" s="1" t="s">
        <v>3</v>
      </c>
      <c r="B3">
        <v>3706</v>
      </c>
    </row>
    <row r="4" spans="1:2">
      <c r="A4" s="1" t="s">
        <v>4</v>
      </c>
      <c r="B4">
        <v>4024</v>
      </c>
    </row>
    <row r="5" spans="1:2">
      <c r="A5" s="1" t="s">
        <v>5</v>
      </c>
      <c r="B5">
        <v>6534</v>
      </c>
    </row>
    <row r="6" spans="1:2">
      <c r="A6" s="1" t="s">
        <v>6</v>
      </c>
      <c r="B6">
        <v>7502</v>
      </c>
    </row>
    <row r="7" spans="1:2">
      <c r="A7" s="1" t="s">
        <v>7</v>
      </c>
      <c r="B7">
        <v>8689</v>
      </c>
    </row>
    <row r="8" spans="1:2">
      <c r="A8" s="1" t="s">
        <v>8</v>
      </c>
      <c r="B8">
        <v>8176</v>
      </c>
    </row>
    <row r="9" spans="1:2">
      <c r="A9" s="1" t="s">
        <v>9</v>
      </c>
      <c r="B9">
        <v>6190</v>
      </c>
    </row>
    <row r="10" spans="1:2">
      <c r="A10" s="1" t="s">
        <v>10</v>
      </c>
      <c r="B10">
        <v>4205</v>
      </c>
    </row>
    <row r="11" spans="1:2">
      <c r="A11" s="1" t="s">
        <v>11</v>
      </c>
      <c r="B11">
        <v>4835</v>
      </c>
    </row>
    <row r="12" spans="1:2">
      <c r="A12" s="1" t="s">
        <v>12</v>
      </c>
      <c r="B12">
        <v>3892</v>
      </c>
    </row>
    <row r="13" spans="1:2">
      <c r="A13" s="1" t="s">
        <v>13</v>
      </c>
      <c r="B13">
        <v>3136</v>
      </c>
    </row>
    <row r="14" spans="1:2">
      <c r="A14" s="1" t="s">
        <v>14</v>
      </c>
      <c r="B14">
        <v>3309</v>
      </c>
    </row>
    <row r="15" spans="1:2">
      <c r="A15" s="1" t="s">
        <v>15</v>
      </c>
      <c r="B15">
        <v>3069</v>
      </c>
    </row>
    <row r="16" spans="1:2">
      <c r="A16" s="1" t="s">
        <v>16</v>
      </c>
      <c r="B16">
        <v>2773</v>
      </c>
    </row>
    <row r="17" spans="1:2">
      <c r="A17" s="1" t="s">
        <v>17</v>
      </c>
      <c r="B17">
        <v>2599</v>
      </c>
    </row>
    <row r="18" spans="1:2">
      <c r="A18" s="1" t="s">
        <v>18</v>
      </c>
      <c r="B18">
        <v>2751</v>
      </c>
    </row>
    <row r="19" spans="1:2">
      <c r="A19" s="1" t="s">
        <v>19</v>
      </c>
      <c r="B19">
        <v>2536</v>
      </c>
    </row>
    <row r="20" spans="1:2">
      <c r="A20" s="1" t="s">
        <v>20</v>
      </c>
      <c r="B20">
        <v>2418</v>
      </c>
    </row>
    <row r="21" spans="1:2">
      <c r="A21" s="1" t="s">
        <v>21</v>
      </c>
      <c r="B21">
        <v>2480</v>
      </c>
    </row>
    <row r="22" spans="1:2">
      <c r="A22" s="1" t="s">
        <v>22</v>
      </c>
      <c r="B22">
        <v>2437</v>
      </c>
    </row>
    <row r="23" spans="1:2">
      <c r="A23" s="1" t="s">
        <v>23</v>
      </c>
      <c r="B23">
        <v>2461</v>
      </c>
    </row>
    <row r="24" spans="1:2">
      <c r="A24" s="1" t="s">
        <v>24</v>
      </c>
      <c r="B24">
        <v>2632</v>
      </c>
    </row>
    <row r="25" spans="1:2">
      <c r="A25" s="1" t="s">
        <v>25</v>
      </c>
      <c r="B25">
        <v>2857</v>
      </c>
    </row>
    <row r="26" spans="1:2">
      <c r="A26" s="1" t="s">
        <v>26</v>
      </c>
      <c r="B26">
        <v>2527</v>
      </c>
    </row>
    <row r="27" spans="1:2">
      <c r="A27" s="1" t="s">
        <v>27</v>
      </c>
      <c r="B27">
        <v>2090</v>
      </c>
    </row>
    <row r="28" spans="1:2">
      <c r="A28" s="1" t="s">
        <v>28</v>
      </c>
      <c r="B28">
        <v>2799</v>
      </c>
    </row>
    <row r="29" spans="1:2">
      <c r="A29" s="1" t="s">
        <v>29</v>
      </c>
      <c r="B29">
        <v>2811</v>
      </c>
    </row>
    <row r="30" spans="1:2">
      <c r="A30" s="1" t="s">
        <v>30</v>
      </c>
      <c r="B30">
        <v>2849</v>
      </c>
    </row>
    <row r="31" spans="1:2">
      <c r="A31" s="1" t="s">
        <v>31</v>
      </c>
      <c r="B31">
        <v>2916</v>
      </c>
    </row>
    <row r="32" spans="1:2">
      <c r="A32" s="1" t="s">
        <v>32</v>
      </c>
      <c r="B32">
        <v>3062</v>
      </c>
    </row>
    <row r="33" spans="1:2">
      <c r="A33" s="1" t="s">
        <v>33</v>
      </c>
      <c r="B33">
        <v>3309</v>
      </c>
    </row>
    <row r="34" spans="1:2">
      <c r="A34" s="1" t="s">
        <v>34</v>
      </c>
      <c r="B34">
        <v>3435</v>
      </c>
    </row>
    <row r="35" spans="1:2">
      <c r="A35" s="1" t="s">
        <v>35</v>
      </c>
      <c r="B35">
        <v>3676</v>
      </c>
    </row>
    <row r="36" spans="1:2">
      <c r="A36" s="1" t="s">
        <v>36</v>
      </c>
      <c r="B36">
        <v>4134</v>
      </c>
    </row>
    <row r="37" spans="1:2">
      <c r="A37" s="1" t="s">
        <v>37</v>
      </c>
      <c r="B37">
        <v>4411</v>
      </c>
    </row>
    <row r="38" spans="1:2">
      <c r="A38" s="1" t="s">
        <v>38</v>
      </c>
      <c r="B38">
        <v>4486</v>
      </c>
    </row>
    <row r="39" spans="1:2">
      <c r="A39" s="1" t="s">
        <v>39</v>
      </c>
      <c r="B39">
        <v>4435</v>
      </c>
    </row>
    <row r="40" spans="1:2">
      <c r="A40" s="1" t="s">
        <v>40</v>
      </c>
      <c r="B40">
        <v>4433</v>
      </c>
    </row>
    <row r="41" spans="1:2">
      <c r="A41" s="1" t="s">
        <v>41</v>
      </c>
      <c r="B41">
        <v>4376</v>
      </c>
    </row>
    <row r="42" spans="1:2">
      <c r="A42" s="1" t="s">
        <v>42</v>
      </c>
      <c r="B42">
        <v>4621</v>
      </c>
    </row>
    <row r="43" spans="1:2">
      <c r="A43" s="1" t="s">
        <v>43</v>
      </c>
      <c r="B43">
        <v>4233</v>
      </c>
    </row>
    <row r="44" spans="1:2">
      <c r="A44" s="1" t="s">
        <v>44</v>
      </c>
      <c r="B44">
        <v>3831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7801-C33C-4E11-9FEC-4AE441A0C162}">
  <dimension ref="A1:G115"/>
  <sheetViews>
    <sheetView workbookViewId="0">
      <pane xSplit="1" ySplit="2" topLeftCell="B86" activePane="bottomRight" state="frozen"/>
      <selection pane="bottomRight" activeCell="D112" sqref="D112:E112"/>
      <selection pane="bottomLeft"/>
      <selection pane="topRight"/>
    </sheetView>
  </sheetViews>
  <sheetFormatPr defaultRowHeight="15"/>
  <cols>
    <col min="1" max="1" width="11.44140625" bestFit="1" customWidth="1"/>
  </cols>
  <sheetData>
    <row r="1" spans="1:7">
      <c r="B1" t="s">
        <v>45</v>
      </c>
      <c r="D1" t="s">
        <v>46</v>
      </c>
      <c r="F1" t="s">
        <v>47</v>
      </c>
    </row>
    <row r="2" spans="1:7">
      <c r="A2" t="s">
        <v>48</v>
      </c>
      <c r="B2" t="s">
        <v>49</v>
      </c>
      <c r="C2" t="s">
        <v>50</v>
      </c>
      <c r="D2" t="s">
        <v>49</v>
      </c>
      <c r="E2" t="s">
        <v>50</v>
      </c>
      <c r="F2" t="s">
        <v>49</v>
      </c>
      <c r="G2" t="s">
        <v>50</v>
      </c>
    </row>
    <row r="3" spans="1:7">
      <c r="A3" s="3">
        <v>43903</v>
      </c>
      <c r="B3">
        <v>5</v>
      </c>
      <c r="C3">
        <v>0</v>
      </c>
      <c r="D3">
        <v>532</v>
      </c>
      <c r="E3">
        <v>1430</v>
      </c>
      <c r="F3">
        <v>1508</v>
      </c>
      <c r="G3">
        <v>2292</v>
      </c>
    </row>
    <row r="4" spans="1:7">
      <c r="A4" s="3">
        <v>43910</v>
      </c>
      <c r="B4">
        <v>96</v>
      </c>
      <c r="C4">
        <v>11</v>
      </c>
      <c r="D4">
        <v>580</v>
      </c>
      <c r="E4">
        <v>1361</v>
      </c>
      <c r="F4">
        <v>1545</v>
      </c>
      <c r="G4">
        <v>2161</v>
      </c>
    </row>
    <row r="5" spans="1:7">
      <c r="A5" s="3">
        <v>43917</v>
      </c>
      <c r="B5">
        <v>520</v>
      </c>
      <c r="C5">
        <v>33</v>
      </c>
      <c r="D5">
        <v>571</v>
      </c>
      <c r="E5">
        <v>1619</v>
      </c>
      <c r="F5">
        <v>1537</v>
      </c>
      <c r="G5">
        <v>2487</v>
      </c>
    </row>
    <row r="6" spans="1:7">
      <c r="A6" s="3">
        <v>43924</v>
      </c>
      <c r="B6">
        <v>3334</v>
      </c>
      <c r="C6">
        <v>170</v>
      </c>
      <c r="D6">
        <v>703</v>
      </c>
      <c r="E6">
        <v>3194</v>
      </c>
      <c r="F6">
        <v>1966</v>
      </c>
      <c r="G6">
        <v>4568</v>
      </c>
    </row>
    <row r="7" spans="1:7">
      <c r="A7" s="3">
        <v>43931</v>
      </c>
      <c r="B7">
        <v>5989</v>
      </c>
      <c r="C7">
        <v>254</v>
      </c>
      <c r="D7">
        <v>611</v>
      </c>
      <c r="E7">
        <v>3806</v>
      </c>
      <c r="F7">
        <v>1763</v>
      </c>
      <c r="G7">
        <v>5739</v>
      </c>
    </row>
    <row r="8" spans="1:7">
      <c r="A8" s="3">
        <v>43938</v>
      </c>
      <c r="B8">
        <v>8431</v>
      </c>
      <c r="C8">
        <v>371</v>
      </c>
      <c r="D8">
        <v>541</v>
      </c>
      <c r="E8">
        <v>4674</v>
      </c>
      <c r="F8">
        <v>1788</v>
      </c>
      <c r="G8">
        <v>6901</v>
      </c>
    </row>
    <row r="9" spans="1:7">
      <c r="A9" s="3">
        <v>43945</v>
      </c>
      <c r="B9">
        <v>7873</v>
      </c>
      <c r="C9">
        <v>421</v>
      </c>
      <c r="D9">
        <v>481</v>
      </c>
      <c r="E9">
        <v>4246</v>
      </c>
      <c r="F9">
        <v>1586</v>
      </c>
      <c r="G9">
        <v>6590</v>
      </c>
    </row>
    <row r="10" spans="1:7">
      <c r="A10" s="3">
        <v>43952</v>
      </c>
      <c r="B10">
        <v>5687</v>
      </c>
      <c r="C10">
        <v>404</v>
      </c>
      <c r="D10">
        <v>400</v>
      </c>
      <c r="E10">
        <v>3219</v>
      </c>
      <c r="F10">
        <v>1287</v>
      </c>
      <c r="G10">
        <v>4903</v>
      </c>
    </row>
    <row r="11" spans="1:7">
      <c r="A11" s="3">
        <v>43959</v>
      </c>
      <c r="B11">
        <v>3660</v>
      </c>
      <c r="C11">
        <v>304</v>
      </c>
      <c r="D11">
        <v>278</v>
      </c>
      <c r="E11">
        <v>2096</v>
      </c>
      <c r="F11">
        <v>947</v>
      </c>
      <c r="G11">
        <v>3258</v>
      </c>
    </row>
    <row r="12" spans="1:7">
      <c r="A12" s="3">
        <v>43966</v>
      </c>
      <c r="B12">
        <v>3514</v>
      </c>
      <c r="C12">
        <v>334</v>
      </c>
      <c r="D12">
        <v>314</v>
      </c>
      <c r="E12">
        <v>2374</v>
      </c>
      <c r="F12">
        <v>1159</v>
      </c>
      <c r="G12">
        <v>3676</v>
      </c>
    </row>
    <row r="13" spans="1:7">
      <c r="A13" s="3">
        <v>43973</v>
      </c>
      <c r="B13">
        <v>2342</v>
      </c>
      <c r="C13">
        <v>288</v>
      </c>
      <c r="D13">
        <v>300</v>
      </c>
      <c r="E13">
        <v>1763</v>
      </c>
      <c r="F13">
        <v>976</v>
      </c>
      <c r="G13">
        <v>2916</v>
      </c>
    </row>
    <row r="14" spans="1:7">
      <c r="A14" s="3">
        <v>43980</v>
      </c>
      <c r="B14">
        <v>1630</v>
      </c>
      <c r="C14">
        <v>217</v>
      </c>
      <c r="D14">
        <v>251</v>
      </c>
      <c r="E14">
        <v>1427</v>
      </c>
      <c r="F14">
        <v>808</v>
      </c>
      <c r="G14">
        <v>2328</v>
      </c>
    </row>
    <row r="15" spans="1:7">
      <c r="A15" s="3">
        <v>43987</v>
      </c>
      <c r="B15">
        <v>1392</v>
      </c>
      <c r="C15">
        <v>226</v>
      </c>
      <c r="D15">
        <v>312</v>
      </c>
      <c r="E15">
        <v>1409</v>
      </c>
      <c r="F15">
        <v>960</v>
      </c>
      <c r="G15">
        <v>2349</v>
      </c>
    </row>
    <row r="16" spans="1:7">
      <c r="A16" s="3">
        <v>43994</v>
      </c>
      <c r="B16">
        <v>949</v>
      </c>
      <c r="C16">
        <v>189</v>
      </c>
      <c r="D16">
        <v>250</v>
      </c>
      <c r="E16">
        <v>1270</v>
      </c>
      <c r="F16">
        <v>863</v>
      </c>
      <c r="G16">
        <v>2206</v>
      </c>
    </row>
    <row r="17" spans="1:7">
      <c r="A17" s="3">
        <v>44001</v>
      </c>
      <c r="B17">
        <v>633</v>
      </c>
      <c r="C17">
        <v>163</v>
      </c>
      <c r="D17">
        <v>278</v>
      </c>
      <c r="E17">
        <v>1111</v>
      </c>
      <c r="F17">
        <v>861</v>
      </c>
      <c r="G17">
        <v>1912</v>
      </c>
    </row>
    <row r="18" spans="1:7">
      <c r="A18" s="3">
        <v>44008</v>
      </c>
      <c r="B18">
        <v>498</v>
      </c>
      <c r="C18">
        <v>120</v>
      </c>
      <c r="D18">
        <v>233</v>
      </c>
      <c r="E18">
        <v>1015</v>
      </c>
      <c r="F18">
        <v>807</v>
      </c>
      <c r="G18">
        <v>1792</v>
      </c>
    </row>
    <row r="19" spans="1:7">
      <c r="A19" s="3">
        <v>44015</v>
      </c>
      <c r="B19">
        <v>409</v>
      </c>
      <c r="C19">
        <v>132</v>
      </c>
      <c r="D19">
        <v>269</v>
      </c>
      <c r="E19">
        <v>1026</v>
      </c>
      <c r="F19">
        <v>861</v>
      </c>
      <c r="G19">
        <v>1890</v>
      </c>
    </row>
    <row r="20" spans="1:7">
      <c r="A20" s="3">
        <v>44022</v>
      </c>
      <c r="B20">
        <v>292</v>
      </c>
      <c r="C20">
        <v>89</v>
      </c>
      <c r="D20">
        <v>227</v>
      </c>
      <c r="E20">
        <v>948</v>
      </c>
      <c r="F20">
        <v>812</v>
      </c>
      <c r="G20">
        <v>1724</v>
      </c>
    </row>
    <row r="21" spans="1:7">
      <c r="A21" s="3">
        <v>44029</v>
      </c>
      <c r="B21">
        <v>228</v>
      </c>
      <c r="C21">
        <v>75</v>
      </c>
      <c r="D21">
        <v>207</v>
      </c>
      <c r="E21">
        <v>896</v>
      </c>
      <c r="F21">
        <v>746</v>
      </c>
      <c r="G21">
        <v>1672</v>
      </c>
    </row>
    <row r="22" spans="1:7">
      <c r="A22" s="3">
        <v>44036</v>
      </c>
      <c r="B22">
        <v>163</v>
      </c>
      <c r="C22">
        <v>61</v>
      </c>
      <c r="D22">
        <v>244</v>
      </c>
      <c r="E22">
        <v>871</v>
      </c>
      <c r="F22">
        <v>821</v>
      </c>
      <c r="G22">
        <v>1659</v>
      </c>
    </row>
    <row r="23" spans="1:7">
      <c r="A23" s="3">
        <v>44043</v>
      </c>
      <c r="B23">
        <v>150</v>
      </c>
      <c r="C23">
        <v>53</v>
      </c>
      <c r="D23">
        <v>219</v>
      </c>
      <c r="E23">
        <v>869</v>
      </c>
      <c r="F23">
        <v>790</v>
      </c>
      <c r="G23">
        <v>1647</v>
      </c>
    </row>
    <row r="24" spans="1:7">
      <c r="A24" s="3">
        <v>44050</v>
      </c>
      <c r="B24">
        <v>117</v>
      </c>
      <c r="C24">
        <v>46</v>
      </c>
      <c r="D24">
        <v>237</v>
      </c>
      <c r="E24">
        <v>856</v>
      </c>
      <c r="F24">
        <v>809</v>
      </c>
      <c r="G24">
        <v>1652</v>
      </c>
    </row>
    <row r="25" spans="1:7">
      <c r="A25" s="3">
        <v>44057</v>
      </c>
      <c r="B25">
        <v>105</v>
      </c>
      <c r="C25">
        <v>46</v>
      </c>
      <c r="D25">
        <v>254</v>
      </c>
      <c r="E25">
        <v>897</v>
      </c>
      <c r="F25">
        <v>870</v>
      </c>
      <c r="G25">
        <v>1762</v>
      </c>
    </row>
    <row r="26" spans="1:7">
      <c r="A26" s="3">
        <v>44064</v>
      </c>
      <c r="B26">
        <v>98</v>
      </c>
      <c r="C26">
        <v>47</v>
      </c>
      <c r="D26">
        <v>292</v>
      </c>
      <c r="E26">
        <v>1018</v>
      </c>
      <c r="F26">
        <v>971</v>
      </c>
      <c r="G26">
        <v>1886</v>
      </c>
    </row>
    <row r="27" spans="1:7">
      <c r="A27" s="3">
        <v>44071</v>
      </c>
      <c r="B27">
        <v>77</v>
      </c>
      <c r="C27">
        <v>32</v>
      </c>
      <c r="D27">
        <v>231</v>
      </c>
      <c r="E27">
        <v>931</v>
      </c>
      <c r="F27">
        <v>808</v>
      </c>
      <c r="G27">
        <v>1719</v>
      </c>
    </row>
    <row r="28" spans="1:7">
      <c r="A28" s="3">
        <v>44078</v>
      </c>
      <c r="B28">
        <v>69</v>
      </c>
      <c r="C28">
        <v>17</v>
      </c>
      <c r="D28">
        <v>215</v>
      </c>
      <c r="E28">
        <v>754</v>
      </c>
      <c r="F28">
        <v>711</v>
      </c>
      <c r="G28">
        <v>1379</v>
      </c>
    </row>
    <row r="29" spans="1:7">
      <c r="A29" s="3">
        <v>44085</v>
      </c>
      <c r="B29">
        <v>80</v>
      </c>
      <c r="C29">
        <v>26</v>
      </c>
      <c r="D29">
        <v>283</v>
      </c>
      <c r="E29">
        <v>975</v>
      </c>
      <c r="F29">
        <v>911</v>
      </c>
      <c r="G29">
        <v>1888</v>
      </c>
    </row>
    <row r="30" spans="1:7">
      <c r="A30" s="3">
        <v>44092</v>
      </c>
      <c r="B30">
        <v>119</v>
      </c>
      <c r="C30">
        <v>31</v>
      </c>
      <c r="D30">
        <v>291</v>
      </c>
      <c r="E30">
        <v>963</v>
      </c>
      <c r="F30">
        <v>952</v>
      </c>
      <c r="G30">
        <v>1859</v>
      </c>
    </row>
    <row r="31" spans="1:7">
      <c r="A31" s="3">
        <v>44099</v>
      </c>
      <c r="B31">
        <v>186</v>
      </c>
      <c r="C31">
        <v>35</v>
      </c>
      <c r="D31">
        <v>267</v>
      </c>
      <c r="E31">
        <v>1064</v>
      </c>
      <c r="F31">
        <v>956</v>
      </c>
      <c r="G31">
        <v>1893</v>
      </c>
    </row>
    <row r="32" spans="1:7">
      <c r="A32" s="3">
        <v>44106</v>
      </c>
      <c r="B32">
        <v>285</v>
      </c>
      <c r="C32">
        <v>44</v>
      </c>
      <c r="D32">
        <v>292</v>
      </c>
      <c r="E32">
        <v>1119</v>
      </c>
      <c r="F32">
        <v>914</v>
      </c>
      <c r="G32">
        <v>2002</v>
      </c>
    </row>
    <row r="33" spans="1:7">
      <c r="A33" s="3">
        <v>44113</v>
      </c>
      <c r="B33">
        <v>398</v>
      </c>
      <c r="C33">
        <v>52</v>
      </c>
      <c r="D33">
        <v>314</v>
      </c>
      <c r="E33">
        <v>1182</v>
      </c>
      <c r="F33">
        <v>998</v>
      </c>
      <c r="G33">
        <v>2064</v>
      </c>
    </row>
    <row r="34" spans="1:7">
      <c r="A34" s="3">
        <v>44120</v>
      </c>
      <c r="B34">
        <v>603</v>
      </c>
      <c r="C34">
        <v>79</v>
      </c>
      <c r="D34">
        <v>337</v>
      </c>
      <c r="E34">
        <v>1372</v>
      </c>
      <c r="F34">
        <v>1030</v>
      </c>
      <c r="G34">
        <v>2279</v>
      </c>
    </row>
    <row r="35" spans="1:7">
      <c r="A35" s="3">
        <v>44127</v>
      </c>
      <c r="B35">
        <v>885</v>
      </c>
      <c r="C35">
        <v>110</v>
      </c>
      <c r="D35">
        <v>303</v>
      </c>
      <c r="E35">
        <v>1500</v>
      </c>
      <c r="F35">
        <v>993</v>
      </c>
      <c r="G35">
        <v>2442</v>
      </c>
    </row>
    <row r="36" spans="1:7">
      <c r="A36" s="3">
        <v>44134</v>
      </c>
      <c r="B36">
        <v>1209</v>
      </c>
      <c r="C36">
        <v>187</v>
      </c>
      <c r="D36">
        <v>293</v>
      </c>
      <c r="E36">
        <v>1713</v>
      </c>
      <c r="F36">
        <v>1015</v>
      </c>
      <c r="G36">
        <v>2661</v>
      </c>
    </row>
    <row r="37" spans="1:7">
      <c r="A37" s="3">
        <v>44141</v>
      </c>
      <c r="B37">
        <v>1762</v>
      </c>
      <c r="C37">
        <v>199</v>
      </c>
      <c r="D37">
        <v>311</v>
      </c>
      <c r="E37">
        <v>2039</v>
      </c>
      <c r="F37">
        <v>1025</v>
      </c>
      <c r="G37">
        <v>3109</v>
      </c>
    </row>
    <row r="38" spans="1:7">
      <c r="A38" s="3">
        <v>44148</v>
      </c>
      <c r="B38">
        <v>2195</v>
      </c>
      <c r="C38">
        <v>293</v>
      </c>
      <c r="D38">
        <v>293</v>
      </c>
      <c r="E38">
        <v>2342</v>
      </c>
      <c r="F38">
        <v>995</v>
      </c>
      <c r="G38">
        <v>3416</v>
      </c>
    </row>
    <row r="39" spans="1:7">
      <c r="A39" s="3">
        <v>44155</v>
      </c>
      <c r="B39">
        <v>2384</v>
      </c>
      <c r="C39">
        <v>337</v>
      </c>
      <c r="D39">
        <v>283</v>
      </c>
      <c r="E39">
        <v>2395</v>
      </c>
      <c r="F39">
        <v>937</v>
      </c>
      <c r="G39">
        <v>3549</v>
      </c>
    </row>
    <row r="40" spans="1:7">
      <c r="A40" s="3">
        <v>44162</v>
      </c>
      <c r="B40">
        <v>2668</v>
      </c>
      <c r="C40">
        <v>406</v>
      </c>
      <c r="D40">
        <v>290</v>
      </c>
      <c r="E40">
        <v>2493</v>
      </c>
      <c r="F40">
        <v>938</v>
      </c>
      <c r="G40">
        <v>3497</v>
      </c>
    </row>
    <row r="41" spans="1:7">
      <c r="A41" s="3">
        <v>44169</v>
      </c>
      <c r="B41">
        <v>2507</v>
      </c>
      <c r="C41">
        <v>378</v>
      </c>
      <c r="D41">
        <v>273</v>
      </c>
      <c r="E41">
        <v>2460</v>
      </c>
      <c r="F41">
        <v>904</v>
      </c>
      <c r="G41">
        <v>3529</v>
      </c>
    </row>
    <row r="42" spans="1:7">
      <c r="A42" s="3">
        <v>44176</v>
      </c>
      <c r="B42">
        <v>2363</v>
      </c>
      <c r="C42">
        <v>430</v>
      </c>
      <c r="D42">
        <v>322</v>
      </c>
      <c r="E42">
        <v>2364</v>
      </c>
      <c r="F42">
        <v>975</v>
      </c>
      <c r="G42">
        <v>3401</v>
      </c>
    </row>
    <row r="43" spans="1:7">
      <c r="A43" s="3">
        <v>44183</v>
      </c>
      <c r="B43">
        <v>2600</v>
      </c>
      <c r="C43">
        <v>435</v>
      </c>
      <c r="D43">
        <v>300</v>
      </c>
      <c r="E43">
        <v>2554</v>
      </c>
      <c r="F43">
        <v>1005</v>
      </c>
      <c r="G43">
        <v>3616</v>
      </c>
    </row>
    <row r="44" spans="1:7">
      <c r="A44" s="3">
        <v>44190</v>
      </c>
      <c r="B44">
        <v>2523</v>
      </c>
      <c r="C44">
        <v>412</v>
      </c>
      <c r="D44">
        <v>276</v>
      </c>
      <c r="E44">
        <v>2405</v>
      </c>
      <c r="F44">
        <v>902</v>
      </c>
      <c r="G44">
        <v>3331</v>
      </c>
    </row>
    <row r="45" spans="1:7">
      <c r="A45" s="3">
        <v>44197</v>
      </c>
      <c r="B45">
        <v>2752</v>
      </c>
      <c r="C45">
        <v>402</v>
      </c>
      <c r="D45">
        <v>188</v>
      </c>
      <c r="E45">
        <v>2342</v>
      </c>
      <c r="F45">
        <v>684</v>
      </c>
      <c r="G45">
        <v>3147</v>
      </c>
    </row>
    <row r="46" spans="1:7">
      <c r="A46" s="4">
        <v>44204</v>
      </c>
      <c r="B46">
        <v>5367</v>
      </c>
      <c r="C46">
        <v>690</v>
      </c>
      <c r="D46">
        <v>380</v>
      </c>
      <c r="E46">
        <v>4269</v>
      </c>
      <c r="F46">
        <v>1262</v>
      </c>
      <c r="G46">
        <v>5763</v>
      </c>
    </row>
    <row r="47" spans="1:7">
      <c r="A47" s="4">
        <v>44211</v>
      </c>
      <c r="B47">
        <v>6510</v>
      </c>
      <c r="C47">
        <v>735</v>
      </c>
      <c r="D47">
        <v>381</v>
      </c>
      <c r="E47">
        <v>4892</v>
      </c>
      <c r="F47">
        <v>1199</v>
      </c>
      <c r="G47">
        <v>6298</v>
      </c>
    </row>
    <row r="48" spans="1:7">
      <c r="A48" s="4">
        <v>44218</v>
      </c>
      <c r="B48">
        <v>7592</v>
      </c>
      <c r="C48">
        <v>830</v>
      </c>
      <c r="D48">
        <v>330</v>
      </c>
      <c r="E48">
        <v>5366</v>
      </c>
      <c r="F48">
        <v>1079</v>
      </c>
      <c r="G48">
        <v>6758</v>
      </c>
    </row>
    <row r="49" spans="1:7">
      <c r="A49" s="4">
        <v>44225</v>
      </c>
      <c r="B49">
        <v>7610</v>
      </c>
      <c r="C49">
        <v>823</v>
      </c>
      <c r="D49">
        <v>298</v>
      </c>
      <c r="E49">
        <v>5421</v>
      </c>
      <c r="F49">
        <v>1058</v>
      </c>
      <c r="G49">
        <v>6758</v>
      </c>
    </row>
    <row r="50" spans="1:7">
      <c r="A50" s="4">
        <v>44232</v>
      </c>
      <c r="B50">
        <v>6521</v>
      </c>
      <c r="C50">
        <v>799</v>
      </c>
      <c r="D50">
        <v>305</v>
      </c>
      <c r="E50">
        <v>4688</v>
      </c>
      <c r="F50">
        <v>1083</v>
      </c>
      <c r="G50">
        <v>5956</v>
      </c>
    </row>
    <row r="51" spans="1:7">
      <c r="A51" s="4">
        <v>44239</v>
      </c>
      <c r="B51">
        <v>5035</v>
      </c>
      <c r="C51">
        <v>656</v>
      </c>
      <c r="D51">
        <v>296</v>
      </c>
      <c r="E51">
        <v>3966</v>
      </c>
      <c r="F51">
        <v>998</v>
      </c>
      <c r="G51">
        <v>5040</v>
      </c>
    </row>
    <row r="52" spans="1:7">
      <c r="A52" s="4">
        <v>44246</v>
      </c>
      <c r="B52">
        <v>3495</v>
      </c>
      <c r="C52">
        <v>584</v>
      </c>
      <c r="D52">
        <v>292</v>
      </c>
      <c r="E52">
        <v>3138</v>
      </c>
      <c r="F52">
        <v>951</v>
      </c>
      <c r="G52">
        <v>4210</v>
      </c>
    </row>
    <row r="53" spans="1:7">
      <c r="A53" s="4">
        <v>44253</v>
      </c>
      <c r="B53">
        <v>2469</v>
      </c>
      <c r="C53">
        <v>445</v>
      </c>
      <c r="D53">
        <v>293</v>
      </c>
      <c r="E53">
        <v>2477</v>
      </c>
      <c r="F53">
        <v>980</v>
      </c>
      <c r="G53">
        <v>3466</v>
      </c>
    </row>
    <row r="54" spans="1:7">
      <c r="A54" s="4">
        <v>44260</v>
      </c>
      <c r="B54">
        <v>1685</v>
      </c>
      <c r="C54">
        <v>420</v>
      </c>
      <c r="D54">
        <v>308</v>
      </c>
      <c r="E54">
        <v>2042</v>
      </c>
      <c r="F54">
        <v>986</v>
      </c>
      <c r="G54">
        <v>2919</v>
      </c>
    </row>
    <row r="55" spans="1:7">
      <c r="A55" s="4">
        <v>44267</v>
      </c>
      <c r="B55">
        <v>1197</v>
      </c>
      <c r="C55">
        <v>304</v>
      </c>
      <c r="D55">
        <v>299</v>
      </c>
      <c r="E55">
        <v>1658</v>
      </c>
      <c r="F55">
        <v>914</v>
      </c>
      <c r="G55">
        <v>2500</v>
      </c>
    </row>
    <row r="56" spans="1:7">
      <c r="A56" s="4">
        <v>44274</v>
      </c>
      <c r="B56">
        <v>740</v>
      </c>
      <c r="C56">
        <v>223</v>
      </c>
      <c r="D56">
        <v>293</v>
      </c>
      <c r="E56">
        <v>1324</v>
      </c>
      <c r="F56">
        <v>939</v>
      </c>
      <c r="G56">
        <v>2113</v>
      </c>
    </row>
    <row r="57" spans="1:7">
      <c r="A57" s="4">
        <v>44281</v>
      </c>
      <c r="B57">
        <v>535</v>
      </c>
      <c r="C57">
        <v>184</v>
      </c>
      <c r="D57">
        <v>293</v>
      </c>
      <c r="E57">
        <v>1171</v>
      </c>
      <c r="F57">
        <v>904</v>
      </c>
      <c r="G57">
        <v>2006</v>
      </c>
    </row>
    <row r="58" spans="1:7">
      <c r="A58" s="4">
        <v>44288</v>
      </c>
      <c r="B58">
        <v>308</v>
      </c>
      <c r="C58">
        <v>92</v>
      </c>
      <c r="D58">
        <v>237</v>
      </c>
      <c r="E58">
        <v>884</v>
      </c>
      <c r="F58">
        <v>714</v>
      </c>
      <c r="G58">
        <v>1551</v>
      </c>
    </row>
    <row r="59" spans="1:7">
      <c r="A59" s="4">
        <v>44295</v>
      </c>
      <c r="B59">
        <v>280</v>
      </c>
      <c r="C59">
        <v>99</v>
      </c>
      <c r="D59">
        <v>278</v>
      </c>
      <c r="E59">
        <v>1018</v>
      </c>
      <c r="F59">
        <v>874</v>
      </c>
      <c r="G59">
        <v>1719</v>
      </c>
    </row>
    <row r="60" spans="1:7">
      <c r="A60" s="4">
        <v>44302</v>
      </c>
      <c r="B60">
        <v>275</v>
      </c>
      <c r="C60">
        <v>87</v>
      </c>
      <c r="D60">
        <v>265</v>
      </c>
      <c r="E60">
        <v>1047</v>
      </c>
      <c r="F60">
        <v>938</v>
      </c>
      <c r="G60">
        <v>1933</v>
      </c>
    </row>
    <row r="61" spans="1:7">
      <c r="A61" s="4">
        <v>44309</v>
      </c>
      <c r="B61">
        <v>176</v>
      </c>
      <c r="C61">
        <v>84</v>
      </c>
      <c r="D61">
        <v>278</v>
      </c>
      <c r="E61">
        <v>925</v>
      </c>
      <c r="F61">
        <v>928</v>
      </c>
      <c r="G61">
        <v>1737</v>
      </c>
    </row>
    <row r="62" spans="1:7">
      <c r="A62" s="4">
        <v>44316</v>
      </c>
      <c r="B62">
        <v>140</v>
      </c>
      <c r="C62">
        <v>65</v>
      </c>
      <c r="D62">
        <v>322</v>
      </c>
      <c r="E62">
        <v>902</v>
      </c>
      <c r="F62">
        <v>987</v>
      </c>
      <c r="G62">
        <v>1706</v>
      </c>
    </row>
    <row r="63" spans="1:7">
      <c r="A63" s="4">
        <v>44323</v>
      </c>
      <c r="B63">
        <v>94</v>
      </c>
      <c r="C63">
        <v>35</v>
      </c>
      <c r="D63">
        <v>247</v>
      </c>
      <c r="E63">
        <v>733</v>
      </c>
      <c r="F63">
        <v>817</v>
      </c>
      <c r="G63">
        <v>1397</v>
      </c>
    </row>
    <row r="64" spans="1:7">
      <c r="A64" s="4">
        <v>44330</v>
      </c>
      <c r="B64">
        <v>108</v>
      </c>
      <c r="C64">
        <v>43</v>
      </c>
      <c r="D64">
        <v>287</v>
      </c>
      <c r="E64">
        <v>884</v>
      </c>
      <c r="F64">
        <v>973</v>
      </c>
      <c r="G64">
        <v>1714</v>
      </c>
    </row>
    <row r="65" spans="1:7">
      <c r="A65" s="4">
        <v>44337</v>
      </c>
      <c r="B65">
        <v>66</v>
      </c>
      <c r="C65">
        <v>41</v>
      </c>
      <c r="D65">
        <v>278</v>
      </c>
      <c r="E65">
        <v>889</v>
      </c>
      <c r="F65">
        <v>963</v>
      </c>
      <c r="G65">
        <v>1656</v>
      </c>
    </row>
    <row r="66" spans="1:7">
      <c r="A66" s="4">
        <v>44344</v>
      </c>
      <c r="B66">
        <v>70</v>
      </c>
      <c r="C66">
        <v>25</v>
      </c>
      <c r="D66">
        <v>273</v>
      </c>
      <c r="E66">
        <v>799</v>
      </c>
      <c r="F66">
        <v>908</v>
      </c>
      <c r="G66">
        <v>1654</v>
      </c>
    </row>
    <row r="67" spans="1:7">
      <c r="A67" s="4">
        <v>44351</v>
      </c>
      <c r="B67">
        <v>57</v>
      </c>
      <c r="C67">
        <v>41</v>
      </c>
      <c r="D67">
        <v>186</v>
      </c>
      <c r="E67">
        <v>687</v>
      </c>
      <c r="F67">
        <v>704</v>
      </c>
      <c r="G67">
        <v>1360</v>
      </c>
    </row>
    <row r="68" spans="1:7">
      <c r="A68" s="4">
        <v>44358</v>
      </c>
      <c r="B68">
        <v>66</v>
      </c>
      <c r="C68">
        <v>18</v>
      </c>
      <c r="D68">
        <v>292</v>
      </c>
      <c r="E68">
        <v>871</v>
      </c>
      <c r="F68">
        <v>969</v>
      </c>
      <c r="G68">
        <v>1718</v>
      </c>
    </row>
    <row r="69" spans="1:7">
      <c r="A69" s="4">
        <v>44365</v>
      </c>
      <c r="B69">
        <v>74</v>
      </c>
      <c r="C69">
        <v>28</v>
      </c>
      <c r="D69">
        <v>264</v>
      </c>
      <c r="E69">
        <v>805</v>
      </c>
      <c r="F69">
        <v>907</v>
      </c>
      <c r="G69">
        <v>1573</v>
      </c>
    </row>
    <row r="70" spans="1:7">
      <c r="A70" s="4">
        <v>44372</v>
      </c>
      <c r="B70">
        <v>84</v>
      </c>
      <c r="C70">
        <v>15</v>
      </c>
      <c r="D70">
        <v>245</v>
      </c>
      <c r="E70">
        <v>764</v>
      </c>
      <c r="F70">
        <v>823</v>
      </c>
      <c r="G70">
        <v>1511</v>
      </c>
    </row>
    <row r="71" spans="1:7">
      <c r="A71" s="4">
        <v>44379</v>
      </c>
      <c r="B71">
        <v>84</v>
      </c>
      <c r="C71">
        <v>25</v>
      </c>
      <c r="D71">
        <v>231</v>
      </c>
      <c r="E71">
        <v>738</v>
      </c>
      <c r="F71">
        <v>816</v>
      </c>
      <c r="G71">
        <v>1430</v>
      </c>
    </row>
    <row r="72" spans="1:7">
      <c r="A72" s="4">
        <v>44386</v>
      </c>
      <c r="B72">
        <v>147</v>
      </c>
      <c r="C72">
        <v>36</v>
      </c>
      <c r="D72">
        <v>254</v>
      </c>
      <c r="E72">
        <v>912</v>
      </c>
      <c r="F72">
        <v>929</v>
      </c>
      <c r="G72">
        <v>1706</v>
      </c>
    </row>
    <row r="73" spans="1:7">
      <c r="A73" s="4">
        <v>44393</v>
      </c>
      <c r="B73">
        <v>181</v>
      </c>
      <c r="C73">
        <v>37</v>
      </c>
      <c r="D73">
        <v>272</v>
      </c>
      <c r="E73">
        <v>921</v>
      </c>
      <c r="F73">
        <v>947</v>
      </c>
      <c r="G73">
        <v>1683</v>
      </c>
    </row>
    <row r="74" spans="1:7">
      <c r="A74" s="4">
        <v>44400</v>
      </c>
      <c r="B74">
        <v>277</v>
      </c>
      <c r="C74">
        <v>50</v>
      </c>
      <c r="D74">
        <v>284</v>
      </c>
      <c r="E74">
        <v>1079</v>
      </c>
      <c r="F74">
        <v>971</v>
      </c>
      <c r="G74">
        <v>1825</v>
      </c>
    </row>
    <row r="75" spans="1:7">
      <c r="A75" s="4">
        <v>44407</v>
      </c>
      <c r="B75">
        <v>348</v>
      </c>
      <c r="C75">
        <v>56</v>
      </c>
      <c r="D75">
        <v>316</v>
      </c>
      <c r="E75">
        <v>1185</v>
      </c>
      <c r="F75">
        <v>1073</v>
      </c>
      <c r="G75">
        <v>1994</v>
      </c>
    </row>
    <row r="76" spans="1:7">
      <c r="A76" s="4">
        <v>44414</v>
      </c>
      <c r="B76">
        <v>473</v>
      </c>
      <c r="C76">
        <v>54</v>
      </c>
      <c r="D76">
        <v>269</v>
      </c>
      <c r="E76">
        <v>1214</v>
      </c>
      <c r="F76">
        <v>1038</v>
      </c>
      <c r="G76">
        <v>2051</v>
      </c>
    </row>
    <row r="77" spans="1:7">
      <c r="A77" s="4">
        <v>44421</v>
      </c>
      <c r="B77">
        <v>512</v>
      </c>
      <c r="C77">
        <v>59</v>
      </c>
      <c r="D77">
        <v>260</v>
      </c>
      <c r="E77">
        <v>1203</v>
      </c>
      <c r="F77">
        <v>940</v>
      </c>
      <c r="G77">
        <v>2033</v>
      </c>
    </row>
    <row r="78" spans="1:7">
      <c r="A78" s="4">
        <v>44428</v>
      </c>
      <c r="B78">
        <v>497</v>
      </c>
      <c r="C78">
        <v>73</v>
      </c>
      <c r="D78">
        <v>276</v>
      </c>
      <c r="E78">
        <v>1211</v>
      </c>
      <c r="F78">
        <v>963</v>
      </c>
      <c r="G78">
        <v>2005</v>
      </c>
    </row>
    <row r="79" spans="1:7">
      <c r="A79" s="4">
        <v>44435</v>
      </c>
      <c r="B79">
        <v>586</v>
      </c>
      <c r="C79">
        <v>82</v>
      </c>
      <c r="D79">
        <v>247</v>
      </c>
      <c r="E79">
        <v>1261</v>
      </c>
      <c r="F79">
        <v>946</v>
      </c>
      <c r="G79">
        <v>2113</v>
      </c>
    </row>
    <row r="80" spans="1:7">
      <c r="A80" s="4">
        <v>44442</v>
      </c>
      <c r="B80">
        <v>578</v>
      </c>
      <c r="C80">
        <v>81</v>
      </c>
      <c r="D80">
        <v>252</v>
      </c>
      <c r="E80">
        <v>1133</v>
      </c>
      <c r="F80">
        <v>773</v>
      </c>
      <c r="G80">
        <v>1840</v>
      </c>
    </row>
    <row r="81" spans="1:7">
      <c r="A81" s="4">
        <v>44449</v>
      </c>
      <c r="B81">
        <v>745</v>
      </c>
      <c r="C81">
        <v>112</v>
      </c>
      <c r="D81">
        <v>288</v>
      </c>
      <c r="E81">
        <v>1444</v>
      </c>
      <c r="F81">
        <v>1020</v>
      </c>
      <c r="G81">
        <v>2328</v>
      </c>
    </row>
    <row r="82" spans="1:7">
      <c r="A82" s="4">
        <v>44456</v>
      </c>
      <c r="B82">
        <v>732</v>
      </c>
      <c r="C82">
        <v>119</v>
      </c>
      <c r="D82">
        <v>309</v>
      </c>
      <c r="E82">
        <v>1509</v>
      </c>
      <c r="F82">
        <v>1086</v>
      </c>
      <c r="G82">
        <v>2421</v>
      </c>
    </row>
    <row r="83" spans="1:7">
      <c r="A83" s="4">
        <v>44463</v>
      </c>
      <c r="B83">
        <v>765</v>
      </c>
      <c r="C83">
        <v>123</v>
      </c>
      <c r="D83">
        <v>295</v>
      </c>
      <c r="E83">
        <v>1477</v>
      </c>
      <c r="F83">
        <v>992</v>
      </c>
      <c r="G83">
        <v>2362</v>
      </c>
    </row>
    <row r="84" spans="1:7">
      <c r="A84" s="4">
        <v>44470</v>
      </c>
      <c r="B84">
        <v>673</v>
      </c>
      <c r="C84">
        <v>110</v>
      </c>
      <c r="D84">
        <v>266</v>
      </c>
      <c r="E84">
        <v>1367</v>
      </c>
      <c r="F84">
        <v>969</v>
      </c>
      <c r="G84">
        <v>2179</v>
      </c>
    </row>
    <row r="85" spans="1:7">
      <c r="A85" s="4">
        <v>44477</v>
      </c>
      <c r="B85">
        <v>567</v>
      </c>
      <c r="C85">
        <v>99</v>
      </c>
      <c r="D85">
        <v>316</v>
      </c>
      <c r="E85">
        <v>1301</v>
      </c>
      <c r="F85">
        <v>1069</v>
      </c>
      <c r="G85">
        <v>2137</v>
      </c>
    </row>
    <row r="86" spans="1:7">
      <c r="A86" s="4">
        <v>44484</v>
      </c>
      <c r="B86">
        <v>610</v>
      </c>
      <c r="C86">
        <v>103</v>
      </c>
      <c r="D86">
        <v>348</v>
      </c>
      <c r="E86">
        <v>1381</v>
      </c>
      <c r="F86">
        <v>1165</v>
      </c>
      <c r="G86">
        <v>2266</v>
      </c>
    </row>
    <row r="87" spans="1:7">
      <c r="A87" s="4">
        <v>44491</v>
      </c>
      <c r="B87">
        <v>657</v>
      </c>
      <c r="C87">
        <v>135</v>
      </c>
      <c r="D87">
        <v>353</v>
      </c>
      <c r="E87">
        <v>1548</v>
      </c>
      <c r="F87">
        <v>1181</v>
      </c>
      <c r="G87">
        <v>2432</v>
      </c>
    </row>
    <row r="88" spans="1:7">
      <c r="A88" s="4">
        <v>44498</v>
      </c>
      <c r="B88">
        <v>728</v>
      </c>
      <c r="C88">
        <v>131</v>
      </c>
      <c r="D88">
        <v>341</v>
      </c>
      <c r="E88">
        <v>1490</v>
      </c>
      <c r="F88">
        <v>1173</v>
      </c>
      <c r="G88">
        <v>2337</v>
      </c>
    </row>
    <row r="89" spans="1:7">
      <c r="A89" s="4">
        <v>44505</v>
      </c>
      <c r="B89">
        <v>864</v>
      </c>
      <c r="C89">
        <v>131</v>
      </c>
      <c r="D89">
        <v>389</v>
      </c>
      <c r="E89">
        <v>1697</v>
      </c>
      <c r="F89">
        <v>1296</v>
      </c>
      <c r="G89">
        <v>2615</v>
      </c>
    </row>
    <row r="90" spans="1:7">
      <c r="A90" s="4">
        <v>44512</v>
      </c>
      <c r="B90">
        <v>858</v>
      </c>
      <c r="C90">
        <v>162</v>
      </c>
      <c r="D90">
        <v>392</v>
      </c>
      <c r="E90">
        <v>1767</v>
      </c>
      <c r="F90">
        <v>1297</v>
      </c>
      <c r="G90">
        <v>2717</v>
      </c>
    </row>
    <row r="91" spans="1:7">
      <c r="A91" s="4">
        <v>44519</v>
      </c>
      <c r="B91">
        <v>818</v>
      </c>
      <c r="C91">
        <v>134</v>
      </c>
      <c r="D91">
        <v>425</v>
      </c>
      <c r="E91">
        <v>1711</v>
      </c>
      <c r="F91">
        <v>1343</v>
      </c>
      <c r="G91">
        <v>2626</v>
      </c>
    </row>
    <row r="92" spans="1:7">
      <c r="A92" s="4">
        <v>44526</v>
      </c>
      <c r="B92">
        <v>682</v>
      </c>
      <c r="C92">
        <v>135</v>
      </c>
      <c r="D92">
        <v>370</v>
      </c>
      <c r="E92">
        <v>1620</v>
      </c>
      <c r="F92">
        <v>1244</v>
      </c>
      <c r="G92">
        <v>2445</v>
      </c>
    </row>
    <row r="93" spans="1:7">
      <c r="A93" s="4">
        <v>44533</v>
      </c>
      <c r="B93">
        <v>658</v>
      </c>
      <c r="C93">
        <v>134</v>
      </c>
      <c r="D93">
        <v>377</v>
      </c>
      <c r="E93">
        <v>1606</v>
      </c>
      <c r="F93">
        <v>1318</v>
      </c>
      <c r="G93">
        <v>2479</v>
      </c>
    </row>
    <row r="94" spans="1:7">
      <c r="A94" s="4">
        <v>44540</v>
      </c>
      <c r="B94">
        <v>661</v>
      </c>
      <c r="C94">
        <v>103</v>
      </c>
      <c r="D94">
        <v>419</v>
      </c>
      <c r="E94">
        <v>1685</v>
      </c>
      <c r="F94">
        <v>1392</v>
      </c>
      <c r="G94">
        <v>2589</v>
      </c>
    </row>
    <row r="95" spans="1:7">
      <c r="A95" s="4">
        <v>44547</v>
      </c>
      <c r="B95">
        <v>641</v>
      </c>
      <c r="C95">
        <v>114</v>
      </c>
      <c r="D95">
        <v>455</v>
      </c>
      <c r="E95">
        <v>1692</v>
      </c>
      <c r="F95">
        <v>1502</v>
      </c>
      <c r="G95">
        <v>2662</v>
      </c>
    </row>
    <row r="96" spans="1:7">
      <c r="A96" s="4">
        <v>44554</v>
      </c>
      <c r="B96">
        <v>723</v>
      </c>
      <c r="C96">
        <v>129</v>
      </c>
      <c r="D96">
        <v>508</v>
      </c>
      <c r="E96">
        <v>1783</v>
      </c>
      <c r="F96">
        <v>1645</v>
      </c>
      <c r="G96">
        <v>2671</v>
      </c>
    </row>
    <row r="97" spans="1:7">
      <c r="A97" s="4">
        <v>44561</v>
      </c>
      <c r="B97">
        <v>454</v>
      </c>
      <c r="C97">
        <v>128</v>
      </c>
      <c r="D97">
        <v>347</v>
      </c>
      <c r="E97">
        <v>1151</v>
      </c>
      <c r="F97">
        <v>1049</v>
      </c>
      <c r="G97">
        <v>1825</v>
      </c>
    </row>
    <row r="98" spans="1:7">
      <c r="A98" s="4">
        <v>44568</v>
      </c>
      <c r="B98">
        <v>712</v>
      </c>
      <c r="C98">
        <v>210</v>
      </c>
      <c r="D98">
        <v>439</v>
      </c>
      <c r="E98">
        <v>1817</v>
      </c>
      <c r="F98">
        <v>1477</v>
      </c>
      <c r="G98">
        <v>2777</v>
      </c>
    </row>
    <row r="99" spans="1:7">
      <c r="A99" s="4">
        <v>44575</v>
      </c>
      <c r="B99">
        <v>1070</v>
      </c>
      <c r="C99">
        <v>312</v>
      </c>
      <c r="D99">
        <v>485</v>
      </c>
      <c r="E99">
        <v>1984</v>
      </c>
      <c r="F99">
        <v>1515</v>
      </c>
      <c r="G99">
        <v>3064</v>
      </c>
    </row>
    <row r="100" spans="1:7">
      <c r="A100" s="4">
        <v>44582</v>
      </c>
      <c r="B100">
        <v>1082</v>
      </c>
      <c r="C100">
        <v>402</v>
      </c>
      <c r="D100">
        <v>427</v>
      </c>
      <c r="E100">
        <v>1846</v>
      </c>
      <c r="F100">
        <v>1346</v>
      </c>
      <c r="G100">
        <v>2825</v>
      </c>
    </row>
    <row r="101" spans="1:7">
      <c r="A101" s="4">
        <v>44589</v>
      </c>
      <c r="B101">
        <v>986</v>
      </c>
      <c r="C101">
        <v>399</v>
      </c>
      <c r="D101">
        <v>395</v>
      </c>
      <c r="E101">
        <v>1758</v>
      </c>
      <c r="F101">
        <v>1268</v>
      </c>
      <c r="G101">
        <v>2652</v>
      </c>
    </row>
    <row r="102" spans="1:7">
      <c r="A102" s="4">
        <v>44596</v>
      </c>
      <c r="B102">
        <v>817</v>
      </c>
      <c r="C102">
        <v>425</v>
      </c>
      <c r="D102">
        <v>375</v>
      </c>
      <c r="E102">
        <v>1541</v>
      </c>
      <c r="F102">
        <v>1211</v>
      </c>
      <c r="G102">
        <v>2491</v>
      </c>
    </row>
    <row r="103" spans="1:7">
      <c r="A103" s="4">
        <v>44603</v>
      </c>
      <c r="B103">
        <v>705</v>
      </c>
      <c r="C103">
        <v>361</v>
      </c>
      <c r="D103">
        <v>376</v>
      </c>
      <c r="E103">
        <v>1466</v>
      </c>
      <c r="F103">
        <v>1163</v>
      </c>
      <c r="G103">
        <v>2411</v>
      </c>
    </row>
    <row r="104" spans="1:7">
      <c r="A104" s="4">
        <v>44610</v>
      </c>
      <c r="B104">
        <v>559</v>
      </c>
      <c r="C104">
        <v>304</v>
      </c>
      <c r="D104">
        <v>335</v>
      </c>
      <c r="E104">
        <v>1382</v>
      </c>
      <c r="F104">
        <v>1106</v>
      </c>
      <c r="G104">
        <v>2265</v>
      </c>
    </row>
    <row r="105" spans="1:7">
      <c r="A105" s="4">
        <v>44617</v>
      </c>
      <c r="B105">
        <v>503</v>
      </c>
      <c r="C105">
        <v>263</v>
      </c>
      <c r="D105">
        <v>375</v>
      </c>
      <c r="E105">
        <v>1301</v>
      </c>
      <c r="F105">
        <v>1163</v>
      </c>
      <c r="G105">
        <v>2188</v>
      </c>
    </row>
    <row r="106" spans="1:7">
      <c r="A106" s="4">
        <v>44624</v>
      </c>
      <c r="B106">
        <v>439</v>
      </c>
      <c r="C106">
        <v>231</v>
      </c>
      <c r="D106">
        <v>386</v>
      </c>
      <c r="E106">
        <v>1287</v>
      </c>
      <c r="F106">
        <v>1196</v>
      </c>
      <c r="G106">
        <v>2154</v>
      </c>
    </row>
    <row r="107" spans="1:7">
      <c r="A107" s="4">
        <v>44631</v>
      </c>
      <c r="B107">
        <v>417</v>
      </c>
      <c r="C107">
        <v>254</v>
      </c>
      <c r="D107">
        <v>386</v>
      </c>
      <c r="E107">
        <v>1222</v>
      </c>
      <c r="F107">
        <v>1181</v>
      </c>
      <c r="G107">
        <v>2153</v>
      </c>
    </row>
    <row r="108" spans="1:7">
      <c r="A108" s="4">
        <v>44638</v>
      </c>
      <c r="B108">
        <v>446</v>
      </c>
      <c r="C108">
        <v>237</v>
      </c>
      <c r="D108">
        <v>381</v>
      </c>
      <c r="E108">
        <v>1192</v>
      </c>
      <c r="F108">
        <v>1184</v>
      </c>
      <c r="G108">
        <v>2072</v>
      </c>
    </row>
    <row r="109" spans="1:7">
      <c r="A109" s="4">
        <v>44645</v>
      </c>
      <c r="B109">
        <v>488</v>
      </c>
      <c r="C109">
        <v>292</v>
      </c>
      <c r="D109">
        <v>336</v>
      </c>
      <c r="E109">
        <v>1202</v>
      </c>
      <c r="F109">
        <v>1078</v>
      </c>
      <c r="G109">
        <v>2076</v>
      </c>
    </row>
    <row r="110" spans="1:7">
      <c r="A110" s="4">
        <v>44652</v>
      </c>
      <c r="B110">
        <v>529</v>
      </c>
      <c r="C110">
        <v>324</v>
      </c>
      <c r="D110">
        <v>286</v>
      </c>
      <c r="E110">
        <v>1134</v>
      </c>
      <c r="F110">
        <v>1004</v>
      </c>
      <c r="G110">
        <v>1944</v>
      </c>
    </row>
    <row r="112" spans="1:7">
      <c r="B112">
        <f>SUM(B3:B110)</f>
        <v>148606</v>
      </c>
      <c r="C112">
        <f t="shared" ref="C112:G112" si="0">SUM(C3:C110)</f>
        <v>21994</v>
      </c>
      <c r="D112">
        <f t="shared" si="0"/>
        <v>35007</v>
      </c>
      <c r="E112">
        <f t="shared" si="0"/>
        <v>184200</v>
      </c>
      <c r="F112">
        <f t="shared" si="0"/>
        <v>114581</v>
      </c>
      <c r="G112">
        <f t="shared" si="0"/>
        <v>286610</v>
      </c>
    </row>
    <row r="114" spans="4:4">
      <c r="D114">
        <f>B112/D112</f>
        <v>4.2450367069443251</v>
      </c>
    </row>
    <row r="115" spans="4:4">
      <c r="D115">
        <f>B112-D112</f>
        <v>113599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CE1E-D819-49A8-BE01-CBF31FA1B4AE}">
  <dimension ref="A1:G112"/>
  <sheetViews>
    <sheetView tabSelected="1" workbookViewId="0">
      <pane xSplit="1" ySplit="2" topLeftCell="B7" activePane="bottomRight" state="frozen"/>
      <selection pane="bottomRight" activeCell="K13" sqref="K13"/>
      <selection pane="bottomLeft"/>
      <selection pane="topRight"/>
    </sheetView>
  </sheetViews>
  <sheetFormatPr defaultRowHeight="15"/>
  <cols>
    <col min="1" max="1" width="11.44140625" bestFit="1" customWidth="1"/>
  </cols>
  <sheetData>
    <row r="1" spans="1:7">
      <c r="B1" t="s">
        <v>45</v>
      </c>
      <c r="D1" t="s">
        <v>46</v>
      </c>
      <c r="F1" t="s">
        <v>47</v>
      </c>
    </row>
    <row r="2" spans="1:7">
      <c r="A2" t="s">
        <v>48</v>
      </c>
      <c r="B2" t="s">
        <v>49</v>
      </c>
      <c r="C2" t="s">
        <v>50</v>
      </c>
      <c r="D2" t="s">
        <v>49</v>
      </c>
      <c r="E2" t="s">
        <v>50</v>
      </c>
      <c r="F2" t="s">
        <v>49</v>
      </c>
      <c r="G2" t="s">
        <v>50</v>
      </c>
    </row>
    <row r="3" spans="1:7">
      <c r="A3" s="3">
        <v>43903</v>
      </c>
      <c r="B3" s="5">
        <f>Sheet1!B3/SUM(Sheet1!$B3:$C3)</f>
        <v>1</v>
      </c>
      <c r="C3" s="5">
        <f>Sheet1!C3/SUM(Sheet1!$B3:$C3)</f>
        <v>0</v>
      </c>
      <c r="D3" s="5">
        <f>Sheet1!D3/SUM(Sheet1!$D3:$E3)</f>
        <v>0.27115188583078492</v>
      </c>
      <c r="E3" s="5">
        <f>Sheet1!E3/SUM(Sheet1!$D3:$E3)</f>
        <v>0.72884811416921513</v>
      </c>
      <c r="F3" s="5">
        <f>Sheet1!F3/SUM(Sheet1!$F3:$G3)</f>
        <v>0.39684210526315788</v>
      </c>
      <c r="G3" s="5">
        <f>Sheet1!G3/SUM(Sheet1!$F3:$G3)</f>
        <v>0.60315789473684212</v>
      </c>
    </row>
    <row r="4" spans="1:7">
      <c r="A4" s="3">
        <v>43910</v>
      </c>
      <c r="B4" s="5">
        <f>Sheet1!B4/SUM(Sheet1!$B4:$C4)</f>
        <v>0.89719626168224298</v>
      </c>
      <c r="C4" s="5">
        <f>Sheet1!C4/SUM(Sheet1!$B4:$C4)</f>
        <v>0.10280373831775701</v>
      </c>
      <c r="D4" s="5">
        <f>Sheet1!D4/SUM(Sheet1!$D4:$E4)</f>
        <v>0.29881504379185986</v>
      </c>
      <c r="E4" s="5">
        <f>Sheet1!E4/SUM(Sheet1!$D4:$E4)</f>
        <v>0.70118495620814014</v>
      </c>
      <c r="F4" s="5">
        <f>Sheet1!F4/SUM(Sheet1!$F4:$G4)</f>
        <v>0.41689152725310308</v>
      </c>
      <c r="G4" s="5">
        <f>Sheet1!G4/SUM(Sheet1!$F4:$G4)</f>
        <v>0.58310847274689692</v>
      </c>
    </row>
    <row r="5" spans="1:7">
      <c r="A5" s="3">
        <v>43917</v>
      </c>
      <c r="B5" s="5">
        <f>Sheet1!B5/SUM(Sheet1!$B5:$C5)</f>
        <v>0.94032549728752257</v>
      </c>
      <c r="C5" s="5">
        <f>Sheet1!C5/SUM(Sheet1!$B5:$C5)</f>
        <v>5.9674502712477394E-2</v>
      </c>
      <c r="D5" s="5">
        <f>Sheet1!D5/SUM(Sheet1!$D5:$E5)</f>
        <v>0.26073059360730594</v>
      </c>
      <c r="E5" s="5">
        <f>Sheet1!E5/SUM(Sheet1!$D5:$E5)</f>
        <v>0.73926940639269412</v>
      </c>
      <c r="F5" s="5">
        <f>Sheet1!F5/SUM(Sheet1!$F5:$G5)</f>
        <v>0.38195825049701787</v>
      </c>
      <c r="G5" s="5">
        <f>Sheet1!G5/SUM(Sheet1!$F5:$G5)</f>
        <v>0.61804174950298207</v>
      </c>
    </row>
    <row r="6" spans="1:7">
      <c r="A6" s="3">
        <v>43924</v>
      </c>
      <c r="B6" s="5">
        <f>Sheet1!B6/SUM(Sheet1!$B6:$C6)</f>
        <v>0.95148401826484019</v>
      </c>
      <c r="C6" s="5">
        <f>Sheet1!C6/SUM(Sheet1!$B6:$C6)</f>
        <v>4.8515981735159815E-2</v>
      </c>
      <c r="D6" s="5">
        <f>Sheet1!D6/SUM(Sheet1!$D6:$E6)</f>
        <v>0.18039517577623812</v>
      </c>
      <c r="E6" s="5">
        <f>Sheet1!E6/SUM(Sheet1!$D6:$E6)</f>
        <v>0.81960482422376191</v>
      </c>
      <c r="F6" s="5">
        <f>Sheet1!F6/SUM(Sheet1!$F6:$G6)</f>
        <v>0.30088766452402815</v>
      </c>
      <c r="G6" s="5">
        <f>Sheet1!G6/SUM(Sheet1!$F6:$G6)</f>
        <v>0.69911233547597185</v>
      </c>
    </row>
    <row r="7" spans="1:7">
      <c r="A7" s="3">
        <v>43931</v>
      </c>
      <c r="B7" s="5">
        <f>Sheet1!B7/SUM(Sheet1!$B7:$C7)</f>
        <v>0.95931443216402368</v>
      </c>
      <c r="C7" s="5">
        <f>Sheet1!C7/SUM(Sheet1!$B7:$C7)</f>
        <v>4.0685567835976294E-2</v>
      </c>
      <c r="D7" s="5">
        <f>Sheet1!D7/SUM(Sheet1!$D7:$E7)</f>
        <v>0.13832918270319222</v>
      </c>
      <c r="E7" s="5">
        <f>Sheet1!E7/SUM(Sheet1!$D7:$E7)</f>
        <v>0.86167081729680783</v>
      </c>
      <c r="F7" s="5">
        <f>Sheet1!F7/SUM(Sheet1!$F7:$G7)</f>
        <v>0.2350039989336177</v>
      </c>
      <c r="G7" s="5">
        <f>Sheet1!G7/SUM(Sheet1!$F7:$G7)</f>
        <v>0.76499600106638233</v>
      </c>
    </row>
    <row r="8" spans="1:7">
      <c r="A8" s="3">
        <v>43938</v>
      </c>
      <c r="B8" s="5">
        <f>Sheet1!B8/SUM(Sheet1!$B8:$C8)</f>
        <v>0.95785048852533516</v>
      </c>
      <c r="C8" s="5">
        <f>Sheet1!C8/SUM(Sheet1!$B8:$C8)</f>
        <v>4.214951147466485E-2</v>
      </c>
      <c r="D8" s="5">
        <f>Sheet1!D8/SUM(Sheet1!$D8:$E8)</f>
        <v>0.1037392138063279</v>
      </c>
      <c r="E8" s="5">
        <f>Sheet1!E8/SUM(Sheet1!$D8:$E8)</f>
        <v>0.89626078619367211</v>
      </c>
      <c r="F8" s="5">
        <f>Sheet1!F8/SUM(Sheet1!$F8:$G8)</f>
        <v>0.20577741972609045</v>
      </c>
      <c r="G8" s="5">
        <f>Sheet1!G8/SUM(Sheet1!$F8:$G8)</f>
        <v>0.79422258027390957</v>
      </c>
    </row>
    <row r="9" spans="1:7">
      <c r="A9" s="3">
        <v>43945</v>
      </c>
      <c r="B9" s="5">
        <f>Sheet1!B9/SUM(Sheet1!$B9:$C9)</f>
        <v>0.94924041475765619</v>
      </c>
      <c r="C9" s="5">
        <f>Sheet1!C9/SUM(Sheet1!$B9:$C9)</f>
        <v>5.0759585242343863E-2</v>
      </c>
      <c r="D9" s="5">
        <f>Sheet1!D9/SUM(Sheet1!$D9:$E9)</f>
        <v>0.10175587053099218</v>
      </c>
      <c r="E9" s="5">
        <f>Sheet1!E9/SUM(Sheet1!$D9:$E9)</f>
        <v>0.89824412946900778</v>
      </c>
      <c r="F9" s="5">
        <f>Sheet1!F9/SUM(Sheet1!$F9:$G9)</f>
        <v>0.19398238747553817</v>
      </c>
      <c r="G9" s="5">
        <f>Sheet1!G9/SUM(Sheet1!$F9:$G9)</f>
        <v>0.8060176125244618</v>
      </c>
    </row>
    <row r="10" spans="1:7">
      <c r="A10" s="3">
        <v>43952</v>
      </c>
      <c r="B10" s="5">
        <f>Sheet1!B10/SUM(Sheet1!$B10:$C10)</f>
        <v>0.93367263175176485</v>
      </c>
      <c r="C10" s="5">
        <f>Sheet1!C10/SUM(Sheet1!$B10:$C10)</f>
        <v>6.6327368248235097E-2</v>
      </c>
      <c r="D10" s="5">
        <f>Sheet1!D10/SUM(Sheet1!$D10:$E10)</f>
        <v>0.11052777010223819</v>
      </c>
      <c r="E10" s="5">
        <f>Sheet1!E10/SUM(Sheet1!$D10:$E10)</f>
        <v>0.88947222989776187</v>
      </c>
      <c r="F10" s="5">
        <f>Sheet1!F10/SUM(Sheet1!$F10:$G10)</f>
        <v>0.20791599353796447</v>
      </c>
      <c r="G10" s="5">
        <f>Sheet1!G10/SUM(Sheet1!$F10:$G10)</f>
        <v>0.79208400646203558</v>
      </c>
    </row>
    <row r="11" spans="1:7">
      <c r="A11" s="3">
        <v>43959</v>
      </c>
      <c r="B11" s="5">
        <f>Sheet1!B11/SUM(Sheet1!$B11:$C11)</f>
        <v>0.92330978809283548</v>
      </c>
      <c r="C11" s="5">
        <f>Sheet1!C11/SUM(Sheet1!$B11:$C11)</f>
        <v>7.6690211907164477E-2</v>
      </c>
      <c r="D11" s="5">
        <f>Sheet1!D11/SUM(Sheet1!$D11:$E11)</f>
        <v>0.11710193765796124</v>
      </c>
      <c r="E11" s="5">
        <f>Sheet1!E11/SUM(Sheet1!$D11:$E11)</f>
        <v>0.88289806234203871</v>
      </c>
      <c r="F11" s="5">
        <f>Sheet1!F11/SUM(Sheet1!$F11:$G11)</f>
        <v>0.22520808561236624</v>
      </c>
      <c r="G11" s="5">
        <f>Sheet1!G11/SUM(Sheet1!$F11:$G11)</f>
        <v>0.77479191438763373</v>
      </c>
    </row>
    <row r="12" spans="1:7">
      <c r="A12" s="3">
        <v>43966</v>
      </c>
      <c r="B12" s="5">
        <f>Sheet1!B12/SUM(Sheet1!$B12:$C12)</f>
        <v>0.91320166320166318</v>
      </c>
      <c r="C12" s="5">
        <f>Sheet1!C12/SUM(Sheet1!$B12:$C12)</f>
        <v>8.6798336798336803E-2</v>
      </c>
      <c r="D12" s="5">
        <f>Sheet1!D12/SUM(Sheet1!$D12:$E12)</f>
        <v>0.11681547619047619</v>
      </c>
      <c r="E12" s="5">
        <f>Sheet1!E12/SUM(Sheet1!$D12:$E12)</f>
        <v>0.88318452380952384</v>
      </c>
      <c r="F12" s="5">
        <f>Sheet1!F12/SUM(Sheet1!$F12:$G12)</f>
        <v>0.23971044467425026</v>
      </c>
      <c r="G12" s="5">
        <f>Sheet1!G12/SUM(Sheet1!$F12:$G12)</f>
        <v>0.76028955532574971</v>
      </c>
    </row>
    <row r="13" spans="1:7">
      <c r="A13" s="3">
        <v>43973</v>
      </c>
      <c r="B13" s="5">
        <f>Sheet1!B13/SUM(Sheet1!$B13:$C13)</f>
        <v>0.89049429657794676</v>
      </c>
      <c r="C13" s="5">
        <f>Sheet1!C13/SUM(Sheet1!$B13:$C13)</f>
        <v>0.10950570342205324</v>
      </c>
      <c r="D13" s="5">
        <f>Sheet1!D13/SUM(Sheet1!$D13:$E13)</f>
        <v>0.1454192922927775</v>
      </c>
      <c r="E13" s="5">
        <f>Sheet1!E13/SUM(Sheet1!$D13:$E13)</f>
        <v>0.8545807077072225</v>
      </c>
      <c r="F13" s="5">
        <f>Sheet1!F13/SUM(Sheet1!$F13:$G13)</f>
        <v>0.25077081192189105</v>
      </c>
      <c r="G13" s="5">
        <f>Sheet1!G13/SUM(Sheet1!$F13:$G13)</f>
        <v>0.7492291880781089</v>
      </c>
    </row>
    <row r="14" spans="1:7">
      <c r="A14" s="3">
        <v>43980</v>
      </c>
      <c r="B14" s="5">
        <f>Sheet1!B14/SUM(Sheet1!$B14:$C14)</f>
        <v>0.88251218191662151</v>
      </c>
      <c r="C14" s="5">
        <f>Sheet1!C14/SUM(Sheet1!$B14:$C14)</f>
        <v>0.11748781808337845</v>
      </c>
      <c r="D14" s="5">
        <f>Sheet1!D14/SUM(Sheet1!$D14:$E14)</f>
        <v>0.14958283671036948</v>
      </c>
      <c r="E14" s="5">
        <f>Sheet1!E14/SUM(Sheet1!$D14:$E14)</f>
        <v>0.85041716328963046</v>
      </c>
      <c r="F14" s="5">
        <f>Sheet1!F14/SUM(Sheet1!$F14:$G14)</f>
        <v>0.25765306122448978</v>
      </c>
      <c r="G14" s="5">
        <f>Sheet1!G14/SUM(Sheet1!$F14:$G14)</f>
        <v>0.74234693877551017</v>
      </c>
    </row>
    <row r="15" spans="1:7">
      <c r="A15" s="3">
        <v>43987</v>
      </c>
      <c r="B15" s="5">
        <f>Sheet1!B15/SUM(Sheet1!$B15:$C15)</f>
        <v>0.86032138442521633</v>
      </c>
      <c r="C15" s="5">
        <f>Sheet1!C15/SUM(Sheet1!$B15:$C15)</f>
        <v>0.13967861557478367</v>
      </c>
      <c r="D15" s="5">
        <f>Sheet1!D15/SUM(Sheet1!$D15:$E15)</f>
        <v>0.18128994770482279</v>
      </c>
      <c r="E15" s="5">
        <f>Sheet1!E15/SUM(Sheet1!$D15:$E15)</f>
        <v>0.81871005229517724</v>
      </c>
      <c r="F15" s="5">
        <f>Sheet1!F15/SUM(Sheet1!$F15:$G15)</f>
        <v>0.29011786038077969</v>
      </c>
      <c r="G15" s="5">
        <f>Sheet1!G15/SUM(Sheet1!$F15:$G15)</f>
        <v>0.70988213961922031</v>
      </c>
    </row>
    <row r="16" spans="1:7">
      <c r="A16" s="3">
        <v>43994</v>
      </c>
      <c r="B16" s="5">
        <f>Sheet1!B16/SUM(Sheet1!$B16:$C16)</f>
        <v>0.83391915641476277</v>
      </c>
      <c r="C16" s="5">
        <f>Sheet1!C16/SUM(Sheet1!$B16:$C16)</f>
        <v>0.16608084358523725</v>
      </c>
      <c r="D16" s="5">
        <f>Sheet1!D16/SUM(Sheet1!$D16:$E16)</f>
        <v>0.16447368421052633</v>
      </c>
      <c r="E16" s="5">
        <f>Sheet1!E16/SUM(Sheet1!$D16:$E16)</f>
        <v>0.83552631578947367</v>
      </c>
      <c r="F16" s="5">
        <f>Sheet1!F16/SUM(Sheet1!$F16:$G16)</f>
        <v>0.28119908765070056</v>
      </c>
      <c r="G16" s="5">
        <f>Sheet1!G16/SUM(Sheet1!$F16:$G16)</f>
        <v>0.71880091234929944</v>
      </c>
    </row>
    <row r="17" spans="1:7">
      <c r="A17" s="3">
        <v>44001</v>
      </c>
      <c r="B17" s="5">
        <f>Sheet1!B17/SUM(Sheet1!$B17:$C17)</f>
        <v>0.79522613065326631</v>
      </c>
      <c r="C17" s="5">
        <f>Sheet1!C17/SUM(Sheet1!$B17:$C17)</f>
        <v>0.20477386934673367</v>
      </c>
      <c r="D17" s="5">
        <f>Sheet1!D17/SUM(Sheet1!$D17:$E17)</f>
        <v>0.20014398848092152</v>
      </c>
      <c r="E17" s="5">
        <f>Sheet1!E17/SUM(Sheet1!$D17:$E17)</f>
        <v>0.79985601151907848</v>
      </c>
      <c r="F17" s="5">
        <f>Sheet1!F17/SUM(Sheet1!$F17:$G17)</f>
        <v>0.3104940497655968</v>
      </c>
      <c r="G17" s="5">
        <f>Sheet1!G17/SUM(Sheet1!$F17:$G17)</f>
        <v>0.6895059502344032</v>
      </c>
    </row>
    <row r="18" spans="1:7">
      <c r="A18" s="3">
        <v>44008</v>
      </c>
      <c r="B18" s="5">
        <f>Sheet1!B18/SUM(Sheet1!$B18:$C18)</f>
        <v>0.80582524271844658</v>
      </c>
      <c r="C18" s="5">
        <f>Sheet1!C18/SUM(Sheet1!$B18:$C18)</f>
        <v>0.1941747572815534</v>
      </c>
      <c r="D18" s="5">
        <f>Sheet1!D18/SUM(Sheet1!$D18:$E18)</f>
        <v>0.18669871794871795</v>
      </c>
      <c r="E18" s="5">
        <f>Sheet1!E18/SUM(Sheet1!$D18:$E18)</f>
        <v>0.81330128205128205</v>
      </c>
      <c r="F18" s="5">
        <f>Sheet1!F18/SUM(Sheet1!$F18:$G18)</f>
        <v>0.31050404001539056</v>
      </c>
      <c r="G18" s="5">
        <f>Sheet1!G18/SUM(Sheet1!$F18:$G18)</f>
        <v>0.68949595998460944</v>
      </c>
    </row>
    <row r="19" spans="1:7">
      <c r="A19" s="3">
        <v>44015</v>
      </c>
      <c r="B19" s="5">
        <f>Sheet1!B19/SUM(Sheet1!$B19:$C19)</f>
        <v>0.75600739371534198</v>
      </c>
      <c r="C19" s="5">
        <f>Sheet1!C19/SUM(Sheet1!$B19:$C19)</f>
        <v>0.24399260628465805</v>
      </c>
      <c r="D19" s="5">
        <f>Sheet1!D19/SUM(Sheet1!$D19:$E19)</f>
        <v>0.20772200772200772</v>
      </c>
      <c r="E19" s="5">
        <f>Sheet1!E19/SUM(Sheet1!$D19:$E19)</f>
        <v>0.79227799227799223</v>
      </c>
      <c r="F19" s="5">
        <f>Sheet1!F19/SUM(Sheet1!$F19:$G19)</f>
        <v>0.31297709923664124</v>
      </c>
      <c r="G19" s="5">
        <f>Sheet1!G19/SUM(Sheet1!$F19:$G19)</f>
        <v>0.68702290076335881</v>
      </c>
    </row>
    <row r="20" spans="1:7">
      <c r="A20" s="3">
        <v>44022</v>
      </c>
      <c r="B20" s="5">
        <f>Sheet1!B20/SUM(Sheet1!$B20:$C20)</f>
        <v>0.76640419947506566</v>
      </c>
      <c r="C20" s="5">
        <f>Sheet1!C20/SUM(Sheet1!$B20:$C20)</f>
        <v>0.23359580052493439</v>
      </c>
      <c r="D20" s="5">
        <f>Sheet1!D20/SUM(Sheet1!$D20:$E20)</f>
        <v>0.19319148936170213</v>
      </c>
      <c r="E20" s="5">
        <f>Sheet1!E20/SUM(Sheet1!$D20:$E20)</f>
        <v>0.80680851063829784</v>
      </c>
      <c r="F20" s="5">
        <f>Sheet1!F20/SUM(Sheet1!$F20:$G20)</f>
        <v>0.32018927444794953</v>
      </c>
      <c r="G20" s="5">
        <f>Sheet1!G20/SUM(Sheet1!$F20:$G20)</f>
        <v>0.67981072555205047</v>
      </c>
    </row>
    <row r="21" spans="1:7">
      <c r="A21" s="3">
        <v>44029</v>
      </c>
      <c r="B21" s="5">
        <f>Sheet1!B21/SUM(Sheet1!$B21:$C21)</f>
        <v>0.75247524752475248</v>
      </c>
      <c r="C21" s="5">
        <f>Sheet1!C21/SUM(Sheet1!$B21:$C21)</f>
        <v>0.24752475247524752</v>
      </c>
      <c r="D21" s="5">
        <f>Sheet1!D21/SUM(Sheet1!$D21:$E21)</f>
        <v>0.18766999093381687</v>
      </c>
      <c r="E21" s="5">
        <f>Sheet1!E21/SUM(Sheet1!$D21:$E21)</f>
        <v>0.81233000906618313</v>
      </c>
      <c r="F21" s="5">
        <f>Sheet1!F21/SUM(Sheet1!$F21:$G21)</f>
        <v>0.30851943755169564</v>
      </c>
      <c r="G21" s="5">
        <f>Sheet1!G21/SUM(Sheet1!$F21:$G21)</f>
        <v>0.69148056244830436</v>
      </c>
    </row>
    <row r="22" spans="1:7">
      <c r="A22" s="3">
        <v>44036</v>
      </c>
      <c r="B22" s="5">
        <f>Sheet1!B22/SUM(Sheet1!$B22:$C22)</f>
        <v>0.7276785714285714</v>
      </c>
      <c r="C22" s="5">
        <f>Sheet1!C22/SUM(Sheet1!$B22:$C22)</f>
        <v>0.27232142857142855</v>
      </c>
      <c r="D22" s="5">
        <f>Sheet1!D22/SUM(Sheet1!$D22:$E22)</f>
        <v>0.21883408071748878</v>
      </c>
      <c r="E22" s="5">
        <f>Sheet1!E22/SUM(Sheet1!$D22:$E22)</f>
        <v>0.78116591928251122</v>
      </c>
      <c r="F22" s="5">
        <f>Sheet1!F22/SUM(Sheet1!$F22:$G22)</f>
        <v>0.3310483870967742</v>
      </c>
      <c r="G22" s="5">
        <f>Sheet1!G22/SUM(Sheet1!$F22:$G22)</f>
        <v>0.6689516129032258</v>
      </c>
    </row>
    <row r="23" spans="1:7">
      <c r="A23" s="3">
        <v>44043</v>
      </c>
      <c r="B23" s="5">
        <f>Sheet1!B23/SUM(Sheet1!$B23:$C23)</f>
        <v>0.73891625615763545</v>
      </c>
      <c r="C23" s="5">
        <f>Sheet1!C23/SUM(Sheet1!$B23:$C23)</f>
        <v>0.26108374384236455</v>
      </c>
      <c r="D23" s="5">
        <f>Sheet1!D23/SUM(Sheet1!$D23:$E23)</f>
        <v>0.20128676470588236</v>
      </c>
      <c r="E23" s="5">
        <f>Sheet1!E23/SUM(Sheet1!$D23:$E23)</f>
        <v>0.79871323529411764</v>
      </c>
      <c r="F23" s="5">
        <f>Sheet1!F23/SUM(Sheet1!$F23:$G23)</f>
        <v>0.32416906032006565</v>
      </c>
      <c r="G23" s="5">
        <f>Sheet1!G23/SUM(Sheet1!$F23:$G23)</f>
        <v>0.67583093967993435</v>
      </c>
    </row>
    <row r="24" spans="1:7">
      <c r="A24" s="3">
        <v>44050</v>
      </c>
      <c r="B24" s="5">
        <f>Sheet1!B24/SUM(Sheet1!$B24:$C24)</f>
        <v>0.71779141104294475</v>
      </c>
      <c r="C24" s="5">
        <f>Sheet1!C24/SUM(Sheet1!$B24:$C24)</f>
        <v>0.2822085889570552</v>
      </c>
      <c r="D24" s="5">
        <f>Sheet1!D24/SUM(Sheet1!$D24:$E24)</f>
        <v>0.21683440073193047</v>
      </c>
      <c r="E24" s="5">
        <f>Sheet1!E24/SUM(Sheet1!$D24:$E24)</f>
        <v>0.7831655992680695</v>
      </c>
      <c r="F24" s="5">
        <f>Sheet1!F24/SUM(Sheet1!$F24:$G24)</f>
        <v>0.32872815928484356</v>
      </c>
      <c r="G24" s="5">
        <f>Sheet1!G24/SUM(Sheet1!$F24:$G24)</f>
        <v>0.67127184071515644</v>
      </c>
    </row>
    <row r="25" spans="1:7">
      <c r="A25" s="3">
        <v>44057</v>
      </c>
      <c r="B25" s="5">
        <f>Sheet1!B25/SUM(Sheet1!$B25:$C25)</f>
        <v>0.69536423841059603</v>
      </c>
      <c r="C25" s="5">
        <f>Sheet1!C25/SUM(Sheet1!$B25:$C25)</f>
        <v>0.30463576158940397</v>
      </c>
      <c r="D25" s="5">
        <f>Sheet1!D25/SUM(Sheet1!$D25:$E25)</f>
        <v>0.2206776715899218</v>
      </c>
      <c r="E25" s="5">
        <f>Sheet1!E25/SUM(Sheet1!$D25:$E25)</f>
        <v>0.7793223284100782</v>
      </c>
      <c r="F25" s="5">
        <f>Sheet1!F25/SUM(Sheet1!$F25:$G25)</f>
        <v>0.33054711246200608</v>
      </c>
      <c r="G25" s="5">
        <f>Sheet1!G25/SUM(Sheet1!$F25:$G25)</f>
        <v>0.66945288753799392</v>
      </c>
    </row>
    <row r="26" spans="1:7">
      <c r="A26" s="3">
        <v>44064</v>
      </c>
      <c r="B26" s="5">
        <f>Sheet1!B26/SUM(Sheet1!$B26:$C26)</f>
        <v>0.67586206896551726</v>
      </c>
      <c r="C26" s="5">
        <f>Sheet1!C26/SUM(Sheet1!$B26:$C26)</f>
        <v>0.32413793103448274</v>
      </c>
      <c r="D26" s="5">
        <f>Sheet1!D26/SUM(Sheet1!$D26:$E26)</f>
        <v>0.22290076335877862</v>
      </c>
      <c r="E26" s="5">
        <f>Sheet1!E26/SUM(Sheet1!$D26:$E26)</f>
        <v>0.77709923664122138</v>
      </c>
      <c r="F26" s="5">
        <f>Sheet1!F26/SUM(Sheet1!$F26:$G26)</f>
        <v>0.33986699334966747</v>
      </c>
      <c r="G26" s="5">
        <f>Sheet1!G26/SUM(Sheet1!$F26:$G26)</f>
        <v>0.66013300665033248</v>
      </c>
    </row>
    <row r="27" spans="1:7">
      <c r="A27" s="3">
        <v>44071</v>
      </c>
      <c r="B27" s="5">
        <f>Sheet1!B27/SUM(Sheet1!$B27:$C27)</f>
        <v>0.70642201834862384</v>
      </c>
      <c r="C27" s="5">
        <f>Sheet1!C27/SUM(Sheet1!$B27:$C27)</f>
        <v>0.29357798165137616</v>
      </c>
      <c r="D27" s="5">
        <f>Sheet1!D27/SUM(Sheet1!$D27:$E27)</f>
        <v>0.19879518072289157</v>
      </c>
      <c r="E27" s="5">
        <f>Sheet1!E27/SUM(Sheet1!$D27:$E27)</f>
        <v>0.8012048192771084</v>
      </c>
      <c r="F27" s="5">
        <f>Sheet1!F27/SUM(Sheet1!$F27:$G27)</f>
        <v>0.31974673525920061</v>
      </c>
      <c r="G27" s="5">
        <f>Sheet1!G27/SUM(Sheet1!$F27:$G27)</f>
        <v>0.68025326474079939</v>
      </c>
    </row>
    <row r="28" spans="1:7">
      <c r="A28" s="3">
        <v>44078</v>
      </c>
      <c r="B28" s="5">
        <f>Sheet1!B28/SUM(Sheet1!$B28:$C28)</f>
        <v>0.80232558139534882</v>
      </c>
      <c r="C28" s="5">
        <f>Sheet1!C28/SUM(Sheet1!$B28:$C28)</f>
        <v>0.19767441860465115</v>
      </c>
      <c r="D28" s="5">
        <f>Sheet1!D28/SUM(Sheet1!$D28:$E28)</f>
        <v>0.22187822497420021</v>
      </c>
      <c r="E28" s="5">
        <f>Sheet1!E28/SUM(Sheet1!$D28:$E28)</f>
        <v>0.77812177502579982</v>
      </c>
      <c r="F28" s="5">
        <f>Sheet1!F28/SUM(Sheet1!$F28:$G28)</f>
        <v>0.3401913875598086</v>
      </c>
      <c r="G28" s="5">
        <f>Sheet1!G28/SUM(Sheet1!$F28:$G28)</f>
        <v>0.6598086124401914</v>
      </c>
    </row>
    <row r="29" spans="1:7">
      <c r="A29" s="3">
        <v>44085</v>
      </c>
      <c r="B29" s="5">
        <f>Sheet1!B29/SUM(Sheet1!$B29:$C29)</f>
        <v>0.75471698113207553</v>
      </c>
      <c r="C29" s="5">
        <f>Sheet1!C29/SUM(Sheet1!$B29:$C29)</f>
        <v>0.24528301886792453</v>
      </c>
      <c r="D29" s="5">
        <f>Sheet1!D29/SUM(Sheet1!$D29:$E29)</f>
        <v>0.22496025437201908</v>
      </c>
      <c r="E29" s="5">
        <f>Sheet1!E29/SUM(Sheet1!$D29:$E29)</f>
        <v>0.77503974562798095</v>
      </c>
      <c r="F29" s="5">
        <f>Sheet1!F29/SUM(Sheet1!$F29:$G29)</f>
        <v>0.32547338335119685</v>
      </c>
      <c r="G29" s="5">
        <f>Sheet1!G29/SUM(Sheet1!$F29:$G29)</f>
        <v>0.67452661664880309</v>
      </c>
    </row>
    <row r="30" spans="1:7">
      <c r="A30" s="3">
        <v>44092</v>
      </c>
      <c r="B30" s="5">
        <f>Sheet1!B30/SUM(Sheet1!$B30:$C30)</f>
        <v>0.79333333333333333</v>
      </c>
      <c r="C30" s="5">
        <f>Sheet1!C30/SUM(Sheet1!$B30:$C30)</f>
        <v>0.20666666666666667</v>
      </c>
      <c r="D30" s="5">
        <f>Sheet1!D30/SUM(Sheet1!$D30:$E30)</f>
        <v>0.23205741626794257</v>
      </c>
      <c r="E30" s="5">
        <f>Sheet1!E30/SUM(Sheet1!$D30:$E30)</f>
        <v>0.76794258373205737</v>
      </c>
      <c r="F30" s="5">
        <f>Sheet1!F30/SUM(Sheet1!$F30:$G30)</f>
        <v>0.33866951262895767</v>
      </c>
      <c r="G30" s="5">
        <f>Sheet1!G30/SUM(Sheet1!$F30:$G30)</f>
        <v>0.66133048737104239</v>
      </c>
    </row>
    <row r="31" spans="1:7">
      <c r="A31" s="3">
        <v>44099</v>
      </c>
      <c r="B31" s="5">
        <f>Sheet1!B31/SUM(Sheet1!$B31:$C31)</f>
        <v>0.84162895927601811</v>
      </c>
      <c r="C31" s="5">
        <f>Sheet1!C31/SUM(Sheet1!$B31:$C31)</f>
        <v>0.15837104072398189</v>
      </c>
      <c r="D31" s="5">
        <f>Sheet1!D31/SUM(Sheet1!$D31:$E31)</f>
        <v>0.20060105184072127</v>
      </c>
      <c r="E31" s="5">
        <f>Sheet1!E31/SUM(Sheet1!$D31:$E31)</f>
        <v>0.7993989481592787</v>
      </c>
      <c r="F31" s="5">
        <f>Sheet1!F31/SUM(Sheet1!$F31:$G31)</f>
        <v>0.33555633555633557</v>
      </c>
      <c r="G31" s="5">
        <f>Sheet1!G31/SUM(Sheet1!$F31:$G31)</f>
        <v>0.66444366444366443</v>
      </c>
    </row>
    <row r="32" spans="1:7">
      <c r="A32" s="3">
        <v>44106</v>
      </c>
      <c r="B32" s="5">
        <f>Sheet1!B32/SUM(Sheet1!$B32:$C32)</f>
        <v>0.86626139817629177</v>
      </c>
      <c r="C32" s="5">
        <f>Sheet1!C32/SUM(Sheet1!$B32:$C32)</f>
        <v>0.1337386018237082</v>
      </c>
      <c r="D32" s="5">
        <f>Sheet1!D32/SUM(Sheet1!$D32:$E32)</f>
        <v>0.20694542877391919</v>
      </c>
      <c r="E32" s="5">
        <f>Sheet1!E32/SUM(Sheet1!$D32:$E32)</f>
        <v>0.79305457122608081</v>
      </c>
      <c r="F32" s="5">
        <f>Sheet1!F32/SUM(Sheet1!$F32:$G32)</f>
        <v>0.31344307270233196</v>
      </c>
      <c r="G32" s="5">
        <f>Sheet1!G32/SUM(Sheet1!$F32:$G32)</f>
        <v>0.68655692729766804</v>
      </c>
    </row>
    <row r="33" spans="1:7">
      <c r="A33" s="3">
        <v>44113</v>
      </c>
      <c r="B33" s="5">
        <f>Sheet1!B33/SUM(Sheet1!$B33:$C33)</f>
        <v>0.88444444444444448</v>
      </c>
      <c r="C33" s="5">
        <f>Sheet1!C33/SUM(Sheet1!$B33:$C33)</f>
        <v>0.11555555555555555</v>
      </c>
      <c r="D33" s="5">
        <f>Sheet1!D33/SUM(Sheet1!$D33:$E33)</f>
        <v>0.20989304812834225</v>
      </c>
      <c r="E33" s="5">
        <f>Sheet1!E33/SUM(Sheet1!$D33:$E33)</f>
        <v>0.7901069518716578</v>
      </c>
      <c r="F33" s="5">
        <f>Sheet1!F33/SUM(Sheet1!$F33:$G33)</f>
        <v>0.32593076420640105</v>
      </c>
      <c r="G33" s="5">
        <f>Sheet1!G33/SUM(Sheet1!$F33:$G33)</f>
        <v>0.67406923579359901</v>
      </c>
    </row>
    <row r="34" spans="1:7">
      <c r="A34" s="3">
        <v>44120</v>
      </c>
      <c r="B34" s="5">
        <f>Sheet1!B34/SUM(Sheet1!$B34:$C34)</f>
        <v>0.88416422287390029</v>
      </c>
      <c r="C34" s="5">
        <f>Sheet1!C34/SUM(Sheet1!$B34:$C34)</f>
        <v>0.1158357771260997</v>
      </c>
      <c r="D34" s="5">
        <f>Sheet1!D34/SUM(Sheet1!$D34:$E34)</f>
        <v>0.19719133996489174</v>
      </c>
      <c r="E34" s="5">
        <f>Sheet1!E34/SUM(Sheet1!$D34:$E34)</f>
        <v>0.8028086600351082</v>
      </c>
      <c r="F34" s="5">
        <f>Sheet1!F34/SUM(Sheet1!$F34:$G34)</f>
        <v>0.31127228770021154</v>
      </c>
      <c r="G34" s="5">
        <f>Sheet1!G34/SUM(Sheet1!$F34:$G34)</f>
        <v>0.68872771229978846</v>
      </c>
    </row>
    <row r="35" spans="1:7">
      <c r="A35" s="3">
        <v>44127</v>
      </c>
      <c r="B35" s="5">
        <f>Sheet1!B35/SUM(Sheet1!$B35:$C35)</f>
        <v>0.88944723618090449</v>
      </c>
      <c r="C35" s="5">
        <f>Sheet1!C35/SUM(Sheet1!$B35:$C35)</f>
        <v>0.11055276381909548</v>
      </c>
      <c r="D35" s="5">
        <f>Sheet1!D35/SUM(Sheet1!$D35:$E35)</f>
        <v>0.16805324459234608</v>
      </c>
      <c r="E35" s="5">
        <f>Sheet1!E35/SUM(Sheet1!$D35:$E35)</f>
        <v>0.83194675540765395</v>
      </c>
      <c r="F35" s="5">
        <f>Sheet1!F35/SUM(Sheet1!$F35:$G35)</f>
        <v>0.28908296943231443</v>
      </c>
      <c r="G35" s="5">
        <f>Sheet1!G35/SUM(Sheet1!$F35:$G35)</f>
        <v>0.71091703056768563</v>
      </c>
    </row>
    <row r="36" spans="1:7">
      <c r="A36" s="3">
        <v>44134</v>
      </c>
      <c r="B36" s="5">
        <f>Sheet1!B36/SUM(Sheet1!$B36:$C36)</f>
        <v>0.86604584527220629</v>
      </c>
      <c r="C36" s="5">
        <f>Sheet1!C36/SUM(Sheet1!$B36:$C36)</f>
        <v>0.13395415472779371</v>
      </c>
      <c r="D36" s="5">
        <f>Sheet1!D36/SUM(Sheet1!$D36:$E36)</f>
        <v>0.14606181455633099</v>
      </c>
      <c r="E36" s="5">
        <f>Sheet1!E36/SUM(Sheet1!$D36:$E36)</f>
        <v>0.85393818544366895</v>
      </c>
      <c r="F36" s="5">
        <f>Sheet1!F36/SUM(Sheet1!$F36:$G36)</f>
        <v>0.27611534276387378</v>
      </c>
      <c r="G36" s="5">
        <f>Sheet1!G36/SUM(Sheet1!$F36:$G36)</f>
        <v>0.72388465723612627</v>
      </c>
    </row>
    <row r="37" spans="1:7">
      <c r="A37" s="3">
        <v>44141</v>
      </c>
      <c r="B37" s="5">
        <f>Sheet1!B37/SUM(Sheet1!$B37:$C37)</f>
        <v>0.89852116267210602</v>
      </c>
      <c r="C37" s="5">
        <f>Sheet1!C37/SUM(Sheet1!$B37:$C37)</f>
        <v>0.10147883732789394</v>
      </c>
      <c r="D37" s="5">
        <f>Sheet1!D37/SUM(Sheet1!$D37:$E37)</f>
        <v>0.13234042553191488</v>
      </c>
      <c r="E37" s="5">
        <f>Sheet1!E37/SUM(Sheet1!$D37:$E37)</f>
        <v>0.86765957446808506</v>
      </c>
      <c r="F37" s="5">
        <f>Sheet1!F37/SUM(Sheet1!$F37:$G37)</f>
        <v>0.24794388001935172</v>
      </c>
      <c r="G37" s="5">
        <f>Sheet1!G37/SUM(Sheet1!$F37:$G37)</f>
        <v>0.75205611998064825</v>
      </c>
    </row>
    <row r="38" spans="1:7">
      <c r="A38" s="3">
        <v>44148</v>
      </c>
      <c r="B38" s="5">
        <f>Sheet1!B38/SUM(Sheet1!$B38:$C38)</f>
        <v>0.88223472668810288</v>
      </c>
      <c r="C38" s="5">
        <f>Sheet1!C38/SUM(Sheet1!$B38:$C38)</f>
        <v>0.11776527331189711</v>
      </c>
      <c r="D38" s="5">
        <f>Sheet1!D38/SUM(Sheet1!$D38:$E38)</f>
        <v>0.1111954459203036</v>
      </c>
      <c r="E38" s="5">
        <f>Sheet1!E38/SUM(Sheet1!$D38:$E38)</f>
        <v>0.88880455407969639</v>
      </c>
      <c r="F38" s="5">
        <f>Sheet1!F38/SUM(Sheet1!$F38:$G38)</f>
        <v>0.22557243255497619</v>
      </c>
      <c r="G38" s="5">
        <f>Sheet1!G38/SUM(Sheet1!$F38:$G38)</f>
        <v>0.77442756744502383</v>
      </c>
    </row>
    <row r="39" spans="1:7">
      <c r="A39" s="3">
        <v>44155</v>
      </c>
      <c r="B39" s="5">
        <f>Sheet1!B39/SUM(Sheet1!$B39:$C39)</f>
        <v>0.87614847482543179</v>
      </c>
      <c r="C39" s="5">
        <f>Sheet1!C39/SUM(Sheet1!$B39:$C39)</f>
        <v>0.12385152517456817</v>
      </c>
      <c r="D39" s="5">
        <f>Sheet1!D39/SUM(Sheet1!$D39:$E39)</f>
        <v>0.10567587752053771</v>
      </c>
      <c r="E39" s="5">
        <f>Sheet1!E39/SUM(Sheet1!$D39:$E39)</f>
        <v>0.89432412247946225</v>
      </c>
      <c r="F39" s="5">
        <f>Sheet1!F39/SUM(Sheet1!$F39:$G39)</f>
        <v>0.20887204636647347</v>
      </c>
      <c r="G39" s="5">
        <f>Sheet1!G39/SUM(Sheet1!$F39:$G39)</f>
        <v>0.7911279536335265</v>
      </c>
    </row>
    <row r="40" spans="1:7">
      <c r="A40" s="3">
        <v>44162</v>
      </c>
      <c r="B40" s="5">
        <f>Sheet1!B40/SUM(Sheet1!$B40:$C40)</f>
        <v>0.86792452830188682</v>
      </c>
      <c r="C40" s="5">
        <f>Sheet1!C40/SUM(Sheet1!$B40:$C40)</f>
        <v>0.13207547169811321</v>
      </c>
      <c r="D40" s="5">
        <f>Sheet1!D40/SUM(Sheet1!$D40:$E40)</f>
        <v>0.10420409629895797</v>
      </c>
      <c r="E40" s="5">
        <f>Sheet1!E40/SUM(Sheet1!$D40:$E40)</f>
        <v>0.89579590370104201</v>
      </c>
      <c r="F40" s="5">
        <f>Sheet1!F40/SUM(Sheet1!$F40:$G40)</f>
        <v>0.21149943630214205</v>
      </c>
      <c r="G40" s="5">
        <f>Sheet1!G40/SUM(Sheet1!$F40:$G40)</f>
        <v>0.78850056369785793</v>
      </c>
    </row>
    <row r="41" spans="1:7">
      <c r="A41" s="3">
        <v>44169</v>
      </c>
      <c r="B41" s="5">
        <f>Sheet1!B41/SUM(Sheet1!$B41:$C41)</f>
        <v>0.86897746967071055</v>
      </c>
      <c r="C41" s="5">
        <f>Sheet1!C41/SUM(Sheet1!$B41:$C41)</f>
        <v>0.13102253032928943</v>
      </c>
      <c r="D41" s="5">
        <f>Sheet1!D41/SUM(Sheet1!$D41:$E41)</f>
        <v>9.989023051591657E-2</v>
      </c>
      <c r="E41" s="5">
        <f>Sheet1!E41/SUM(Sheet1!$D41:$E41)</f>
        <v>0.90010976948408339</v>
      </c>
      <c r="F41" s="5">
        <f>Sheet1!F41/SUM(Sheet1!$F41:$G41)</f>
        <v>0.20392510715091361</v>
      </c>
      <c r="G41" s="5">
        <f>Sheet1!G41/SUM(Sheet1!$F41:$G41)</f>
        <v>0.79607489284908639</v>
      </c>
    </row>
    <row r="42" spans="1:7">
      <c r="A42" s="3">
        <v>44176</v>
      </c>
      <c r="B42" s="5">
        <f>Sheet1!B42/SUM(Sheet1!$B42:$C42)</f>
        <v>0.84604368063014679</v>
      </c>
      <c r="C42" s="5">
        <f>Sheet1!C42/SUM(Sheet1!$B42:$C42)</f>
        <v>0.15395631936985321</v>
      </c>
      <c r="D42" s="5">
        <f>Sheet1!D42/SUM(Sheet1!$D42:$E42)</f>
        <v>0.11988086373790022</v>
      </c>
      <c r="E42" s="5">
        <f>Sheet1!E42/SUM(Sheet1!$D42:$E42)</f>
        <v>0.88011913626209981</v>
      </c>
      <c r="F42" s="5">
        <f>Sheet1!F42/SUM(Sheet1!$F42:$G42)</f>
        <v>0.22280621572212067</v>
      </c>
      <c r="G42" s="5">
        <f>Sheet1!G42/SUM(Sheet1!$F42:$G42)</f>
        <v>0.77719378427787933</v>
      </c>
    </row>
    <row r="43" spans="1:7">
      <c r="A43" s="3">
        <v>44183</v>
      </c>
      <c r="B43" s="5">
        <f>Sheet1!B43/SUM(Sheet1!$B43:$C43)</f>
        <v>0.85667215815485998</v>
      </c>
      <c r="C43" s="5">
        <f>Sheet1!C43/SUM(Sheet1!$B43:$C43)</f>
        <v>0.14332784184514002</v>
      </c>
      <c r="D43" s="5">
        <f>Sheet1!D43/SUM(Sheet1!$D43:$E43)</f>
        <v>0.1051156271899089</v>
      </c>
      <c r="E43" s="5">
        <f>Sheet1!E43/SUM(Sheet1!$D43:$E43)</f>
        <v>0.89488437281009114</v>
      </c>
      <c r="F43" s="5">
        <f>Sheet1!F43/SUM(Sheet1!$F43:$G43)</f>
        <v>0.21748539277212725</v>
      </c>
      <c r="G43" s="5">
        <f>Sheet1!G43/SUM(Sheet1!$F43:$G43)</f>
        <v>0.7825146072278728</v>
      </c>
    </row>
    <row r="44" spans="1:7">
      <c r="A44" s="3">
        <v>44190</v>
      </c>
      <c r="B44" s="5">
        <f>Sheet1!B44/SUM(Sheet1!$B44:$C44)</f>
        <v>0.85962521294718908</v>
      </c>
      <c r="C44" s="5">
        <f>Sheet1!C44/SUM(Sheet1!$B44:$C44)</f>
        <v>0.1403747870528109</v>
      </c>
      <c r="D44" s="5">
        <f>Sheet1!D44/SUM(Sheet1!$D44:$E44)</f>
        <v>0.10294666169339799</v>
      </c>
      <c r="E44" s="5">
        <f>Sheet1!E44/SUM(Sheet1!$D44:$E44)</f>
        <v>0.89705333830660205</v>
      </c>
      <c r="F44" s="5">
        <f>Sheet1!F44/SUM(Sheet1!$F44:$G44)</f>
        <v>0.21308764469643279</v>
      </c>
      <c r="G44" s="5">
        <f>Sheet1!G44/SUM(Sheet1!$F44:$G44)</f>
        <v>0.78691235530356718</v>
      </c>
    </row>
    <row r="45" spans="1:7">
      <c r="A45" s="3">
        <v>44197</v>
      </c>
      <c r="B45" s="5">
        <f>Sheet1!B45/SUM(Sheet1!$B45:$C45)</f>
        <v>0.87254280279010776</v>
      </c>
      <c r="C45" s="5">
        <f>Sheet1!C45/SUM(Sheet1!$B45:$C45)</f>
        <v>0.12745719720989221</v>
      </c>
      <c r="D45" s="5">
        <f>Sheet1!D45/SUM(Sheet1!$D45:$E45)</f>
        <v>7.4308300395256918E-2</v>
      </c>
      <c r="E45" s="5">
        <f>Sheet1!E45/SUM(Sheet1!$D45:$E45)</f>
        <v>0.92569169960474307</v>
      </c>
      <c r="F45" s="5">
        <f>Sheet1!F45/SUM(Sheet1!$F45:$G45)</f>
        <v>0.17854346123727485</v>
      </c>
      <c r="G45" s="5">
        <f>Sheet1!G45/SUM(Sheet1!$F45:$G45)</f>
        <v>0.82145653876272517</v>
      </c>
    </row>
    <row r="46" spans="1:7">
      <c r="A46" s="4">
        <v>44204</v>
      </c>
      <c r="B46" s="5">
        <f>Sheet1!B46/SUM(Sheet1!$B46:$C46)</f>
        <v>0.88608221892025751</v>
      </c>
      <c r="C46" s="5">
        <f>Sheet1!C46/SUM(Sheet1!$B46:$C46)</f>
        <v>0.11391778107974244</v>
      </c>
      <c r="D46" s="5">
        <f>Sheet1!D46/SUM(Sheet1!$D46:$E46)</f>
        <v>8.1738008173800822E-2</v>
      </c>
      <c r="E46" s="5">
        <f>Sheet1!E46/SUM(Sheet1!$D46:$E46)</f>
        <v>0.91826199182619916</v>
      </c>
      <c r="F46" s="5">
        <f>Sheet1!F46/SUM(Sheet1!$F46:$G46)</f>
        <v>0.179644128113879</v>
      </c>
      <c r="G46" s="5">
        <f>Sheet1!G46/SUM(Sheet1!$F46:$G46)</f>
        <v>0.82035587188612102</v>
      </c>
    </row>
    <row r="47" spans="1:7">
      <c r="A47" s="4">
        <v>44211</v>
      </c>
      <c r="B47" s="5">
        <f>Sheet1!B47/SUM(Sheet1!$B47:$C47)</f>
        <v>0.89855072463768115</v>
      </c>
      <c r="C47" s="5">
        <f>Sheet1!C47/SUM(Sheet1!$B47:$C47)</f>
        <v>0.10144927536231885</v>
      </c>
      <c r="D47" s="5">
        <f>Sheet1!D47/SUM(Sheet1!$D47:$E47)</f>
        <v>7.2254883368101652E-2</v>
      </c>
      <c r="E47" s="5">
        <f>Sheet1!E47/SUM(Sheet1!$D47:$E47)</f>
        <v>0.9277451166318984</v>
      </c>
      <c r="F47" s="5">
        <f>Sheet1!F47/SUM(Sheet1!$F47:$G47)</f>
        <v>0.15993063892223555</v>
      </c>
      <c r="G47" s="5">
        <f>Sheet1!G47/SUM(Sheet1!$F47:$G47)</f>
        <v>0.84006936107776442</v>
      </c>
    </row>
    <row r="48" spans="1:7">
      <c r="A48" s="4">
        <v>44218</v>
      </c>
      <c r="B48" s="5">
        <f>Sheet1!B48/SUM(Sheet1!$B48:$C48)</f>
        <v>0.90144858703395869</v>
      </c>
      <c r="C48" s="5">
        <f>Sheet1!C48/SUM(Sheet1!$B48:$C48)</f>
        <v>9.8551412966041321E-2</v>
      </c>
      <c r="D48" s="5">
        <f>Sheet1!D48/SUM(Sheet1!$D48:$E48)</f>
        <v>5.7935393258426969E-2</v>
      </c>
      <c r="E48" s="5">
        <f>Sheet1!E48/SUM(Sheet1!$D48:$E48)</f>
        <v>0.942064606741573</v>
      </c>
      <c r="F48" s="5">
        <f>Sheet1!F48/SUM(Sheet1!$F48:$G48)</f>
        <v>0.13768023478371827</v>
      </c>
      <c r="G48" s="5">
        <f>Sheet1!G48/SUM(Sheet1!$F48:$G48)</f>
        <v>0.86231976521628173</v>
      </c>
    </row>
    <row r="49" spans="1:7">
      <c r="A49" s="4">
        <v>44225</v>
      </c>
      <c r="B49" s="5">
        <f>Sheet1!B49/SUM(Sheet1!$B49:$C49)</f>
        <v>0.9024072097711372</v>
      </c>
      <c r="C49" s="5">
        <f>Sheet1!C49/SUM(Sheet1!$B49:$C49)</f>
        <v>9.7592790228862802E-2</v>
      </c>
      <c r="D49" s="5">
        <f>Sheet1!D49/SUM(Sheet1!$D49:$E49)</f>
        <v>5.2107011715334849E-2</v>
      </c>
      <c r="E49" s="5">
        <f>Sheet1!E49/SUM(Sheet1!$D49:$E49)</f>
        <v>0.94789298828466517</v>
      </c>
      <c r="F49" s="5">
        <f>Sheet1!F49/SUM(Sheet1!$F49:$G49)</f>
        <v>0.13536335721596723</v>
      </c>
      <c r="G49" s="5">
        <f>Sheet1!G49/SUM(Sheet1!$F49:$G49)</f>
        <v>0.86463664278403274</v>
      </c>
    </row>
    <row r="50" spans="1:7">
      <c r="A50" s="4">
        <v>44232</v>
      </c>
      <c r="B50" s="5">
        <f>Sheet1!B50/SUM(Sheet1!$B50:$C50)</f>
        <v>0.89084699453551908</v>
      </c>
      <c r="C50" s="5">
        <f>Sheet1!C50/SUM(Sheet1!$B50:$C50)</f>
        <v>0.10915300546448087</v>
      </c>
      <c r="D50" s="5">
        <f>Sheet1!D50/SUM(Sheet1!$D50:$E50)</f>
        <v>6.1085519727618665E-2</v>
      </c>
      <c r="E50" s="5">
        <f>Sheet1!E50/SUM(Sheet1!$D50:$E50)</f>
        <v>0.93891448027238134</v>
      </c>
      <c r="F50" s="5">
        <f>Sheet1!F50/SUM(Sheet1!$F50:$G50)</f>
        <v>0.15385708197187101</v>
      </c>
      <c r="G50" s="5">
        <f>Sheet1!G50/SUM(Sheet1!$F50:$G50)</f>
        <v>0.84614291802812902</v>
      </c>
    </row>
    <row r="51" spans="1:7">
      <c r="A51" s="4">
        <v>44239</v>
      </c>
      <c r="B51" s="5">
        <f>Sheet1!B51/SUM(Sheet1!$B51:$C51)</f>
        <v>0.88473027587418729</v>
      </c>
      <c r="C51" s="5">
        <f>Sheet1!C51/SUM(Sheet1!$B51:$C51)</f>
        <v>0.11526972412581268</v>
      </c>
      <c r="D51" s="5">
        <f>Sheet1!D51/SUM(Sheet1!$D51:$E51)</f>
        <v>6.9450961989676208E-2</v>
      </c>
      <c r="E51" s="5">
        <f>Sheet1!E51/SUM(Sheet1!$D51:$E51)</f>
        <v>0.93054903801032374</v>
      </c>
      <c r="F51" s="5">
        <f>Sheet1!F51/SUM(Sheet1!$F51:$G51)</f>
        <v>0.16528651871480624</v>
      </c>
      <c r="G51" s="5">
        <f>Sheet1!G51/SUM(Sheet1!$F51:$G51)</f>
        <v>0.83471348128519374</v>
      </c>
    </row>
    <row r="52" spans="1:7">
      <c r="A52" s="4">
        <v>44246</v>
      </c>
      <c r="B52" s="5">
        <f>Sheet1!B52/SUM(Sheet1!$B52:$C52)</f>
        <v>0.85682765383672466</v>
      </c>
      <c r="C52" s="5">
        <f>Sheet1!C52/SUM(Sheet1!$B52:$C52)</f>
        <v>0.14317234616327532</v>
      </c>
      <c r="D52" s="5">
        <f>Sheet1!D52/SUM(Sheet1!$D52:$E52)</f>
        <v>8.5131195335276966E-2</v>
      </c>
      <c r="E52" s="5">
        <f>Sheet1!E52/SUM(Sheet1!$D52:$E52)</f>
        <v>0.91486880466472298</v>
      </c>
      <c r="F52" s="5">
        <f>Sheet1!F52/SUM(Sheet1!$F52:$G52)</f>
        <v>0.1842666149970936</v>
      </c>
      <c r="G52" s="5">
        <f>Sheet1!G52/SUM(Sheet1!$F52:$G52)</f>
        <v>0.81573338500290637</v>
      </c>
    </row>
    <row r="53" spans="1:7">
      <c r="A53" s="4">
        <v>44253</v>
      </c>
      <c r="B53" s="5">
        <f>Sheet1!B53/SUM(Sheet1!$B53:$C53)</f>
        <v>0.84728894989704873</v>
      </c>
      <c r="C53" s="5">
        <f>Sheet1!C53/SUM(Sheet1!$B53:$C53)</f>
        <v>0.15271105010295127</v>
      </c>
      <c r="D53" s="5">
        <f>Sheet1!D53/SUM(Sheet1!$D53:$E53)</f>
        <v>0.10577617328519856</v>
      </c>
      <c r="E53" s="5">
        <f>Sheet1!E53/SUM(Sheet1!$D53:$E53)</f>
        <v>0.8942238267148015</v>
      </c>
      <c r="F53" s="5">
        <f>Sheet1!F53/SUM(Sheet1!$F53:$G53)</f>
        <v>0.22042285200179937</v>
      </c>
      <c r="G53" s="5">
        <f>Sheet1!G53/SUM(Sheet1!$F53:$G53)</f>
        <v>0.77957714799820066</v>
      </c>
    </row>
    <row r="54" spans="1:7">
      <c r="A54" s="4">
        <v>44260</v>
      </c>
      <c r="B54" s="5">
        <f>Sheet1!B54/SUM(Sheet1!$B54:$C54)</f>
        <v>0.8004750593824228</v>
      </c>
      <c r="C54" s="5">
        <f>Sheet1!C54/SUM(Sheet1!$B54:$C54)</f>
        <v>0.1995249406175772</v>
      </c>
      <c r="D54" s="5">
        <f>Sheet1!D54/SUM(Sheet1!$D54:$E54)</f>
        <v>0.13106382978723405</v>
      </c>
      <c r="E54" s="5">
        <f>Sheet1!E54/SUM(Sheet1!$D54:$E54)</f>
        <v>0.86893617021276592</v>
      </c>
      <c r="F54" s="5">
        <f>Sheet1!F54/SUM(Sheet1!$F54:$G54)</f>
        <v>0.25249679897567223</v>
      </c>
      <c r="G54" s="5">
        <f>Sheet1!G54/SUM(Sheet1!$F54:$G54)</f>
        <v>0.74750320102432777</v>
      </c>
    </row>
    <row r="55" spans="1:7">
      <c r="A55" s="4">
        <v>44267</v>
      </c>
      <c r="B55" s="5">
        <f>Sheet1!B55/SUM(Sheet1!$B55:$C55)</f>
        <v>0.79746835443037978</v>
      </c>
      <c r="C55" s="5">
        <f>Sheet1!C55/SUM(Sheet1!$B55:$C55)</f>
        <v>0.20253164556962025</v>
      </c>
      <c r="D55" s="5">
        <f>Sheet1!D55/SUM(Sheet1!$D55:$E55)</f>
        <v>0.15278487480838018</v>
      </c>
      <c r="E55" s="5">
        <f>Sheet1!E55/SUM(Sheet1!$D55:$E55)</f>
        <v>0.84721512519161979</v>
      </c>
      <c r="F55" s="5">
        <f>Sheet1!F55/SUM(Sheet1!$F55:$G55)</f>
        <v>0.26772114821323961</v>
      </c>
      <c r="G55" s="5">
        <f>Sheet1!G55/SUM(Sheet1!$F55:$G55)</f>
        <v>0.73227885178676044</v>
      </c>
    </row>
    <row r="56" spans="1:7">
      <c r="A56" s="4">
        <v>44274</v>
      </c>
      <c r="B56" s="5">
        <f>Sheet1!B56/SUM(Sheet1!$B56:$C56)</f>
        <v>0.76843198338525442</v>
      </c>
      <c r="C56" s="5">
        <f>Sheet1!C56/SUM(Sheet1!$B56:$C56)</f>
        <v>0.23156801661474558</v>
      </c>
      <c r="D56" s="5">
        <f>Sheet1!D56/SUM(Sheet1!$D56:$E56)</f>
        <v>0.18119975262832405</v>
      </c>
      <c r="E56" s="5">
        <f>Sheet1!E56/SUM(Sheet1!$D56:$E56)</f>
        <v>0.81880024737167589</v>
      </c>
      <c r="F56" s="5">
        <f>Sheet1!F56/SUM(Sheet1!$F56:$G56)</f>
        <v>0.30766710353866317</v>
      </c>
      <c r="G56" s="5">
        <f>Sheet1!G56/SUM(Sheet1!$F56:$G56)</f>
        <v>0.69233289646133678</v>
      </c>
    </row>
    <row r="57" spans="1:7">
      <c r="A57" s="4">
        <v>44281</v>
      </c>
      <c r="B57" s="5">
        <f>Sheet1!B57/SUM(Sheet1!$B57:$C57)</f>
        <v>0.74408901251738524</v>
      </c>
      <c r="C57" s="5">
        <f>Sheet1!C57/SUM(Sheet1!$B57:$C57)</f>
        <v>0.25591098748261476</v>
      </c>
      <c r="D57" s="5">
        <f>Sheet1!D57/SUM(Sheet1!$D57:$E57)</f>
        <v>0.20013661202185792</v>
      </c>
      <c r="E57" s="5">
        <f>Sheet1!E57/SUM(Sheet1!$D57:$E57)</f>
        <v>0.79986338797814205</v>
      </c>
      <c r="F57" s="5">
        <f>Sheet1!F57/SUM(Sheet1!$F57:$G57)</f>
        <v>0.31065292096219932</v>
      </c>
      <c r="G57" s="5">
        <f>Sheet1!G57/SUM(Sheet1!$F57:$G57)</f>
        <v>0.68934707903780068</v>
      </c>
    </row>
    <row r="58" spans="1:7">
      <c r="A58" s="4">
        <v>44288</v>
      </c>
      <c r="B58" s="5">
        <f>Sheet1!B58/SUM(Sheet1!$B58:$C58)</f>
        <v>0.77</v>
      </c>
      <c r="C58" s="5">
        <f>Sheet1!C58/SUM(Sheet1!$B58:$C58)</f>
        <v>0.23</v>
      </c>
      <c r="D58" s="5">
        <f>Sheet1!D58/SUM(Sheet1!$D58:$E58)</f>
        <v>0.21141837644959857</v>
      </c>
      <c r="E58" s="5">
        <f>Sheet1!E58/SUM(Sheet1!$D58:$E58)</f>
        <v>0.7885816235504014</v>
      </c>
      <c r="F58" s="5">
        <f>Sheet1!F58/SUM(Sheet1!$F58:$G58)</f>
        <v>0.31523178807947022</v>
      </c>
      <c r="G58" s="5">
        <f>Sheet1!G58/SUM(Sheet1!$F58:$G58)</f>
        <v>0.68476821192052983</v>
      </c>
    </row>
    <row r="59" spans="1:7">
      <c r="A59" s="4">
        <v>44295</v>
      </c>
      <c r="B59" s="5">
        <f>Sheet1!B59/SUM(Sheet1!$B59:$C59)</f>
        <v>0.73878627968337729</v>
      </c>
      <c r="C59" s="5">
        <f>Sheet1!C59/SUM(Sheet1!$B59:$C59)</f>
        <v>0.26121372031662271</v>
      </c>
      <c r="D59" s="5">
        <f>Sheet1!D59/SUM(Sheet1!$D59:$E59)</f>
        <v>0.21450617283950618</v>
      </c>
      <c r="E59" s="5">
        <f>Sheet1!E59/SUM(Sheet1!$D59:$E59)</f>
        <v>0.78549382716049387</v>
      </c>
      <c r="F59" s="5">
        <f>Sheet1!F59/SUM(Sheet1!$F59:$G59)</f>
        <v>0.33706131893559582</v>
      </c>
      <c r="G59" s="5">
        <f>Sheet1!G59/SUM(Sheet1!$F59:$G59)</f>
        <v>0.66293868106440412</v>
      </c>
    </row>
    <row r="60" spans="1:7">
      <c r="A60" s="4">
        <v>44302</v>
      </c>
      <c r="B60" s="5">
        <f>Sheet1!B60/SUM(Sheet1!$B60:$C60)</f>
        <v>0.75966850828729282</v>
      </c>
      <c r="C60" s="5">
        <f>Sheet1!C60/SUM(Sheet1!$B60:$C60)</f>
        <v>0.24033149171270718</v>
      </c>
      <c r="D60" s="5">
        <f>Sheet1!D60/SUM(Sheet1!$D60:$E60)</f>
        <v>0.20198170731707318</v>
      </c>
      <c r="E60" s="5">
        <f>Sheet1!E60/SUM(Sheet1!$D60:$E60)</f>
        <v>0.79801829268292679</v>
      </c>
      <c r="F60" s="5">
        <f>Sheet1!F60/SUM(Sheet1!$F60:$G60)</f>
        <v>0.32671543016370602</v>
      </c>
      <c r="G60" s="5">
        <f>Sheet1!G60/SUM(Sheet1!$F60:$G60)</f>
        <v>0.67328456983629392</v>
      </c>
    </row>
    <row r="61" spans="1:7">
      <c r="A61" s="4">
        <v>44309</v>
      </c>
      <c r="B61" s="5">
        <f>Sheet1!B61/SUM(Sheet1!$B61:$C61)</f>
        <v>0.67692307692307696</v>
      </c>
      <c r="C61" s="5">
        <f>Sheet1!C61/SUM(Sheet1!$B61:$C61)</f>
        <v>0.32307692307692309</v>
      </c>
      <c r="D61" s="5">
        <f>Sheet1!D61/SUM(Sheet1!$D61:$E61)</f>
        <v>0.23108894430590191</v>
      </c>
      <c r="E61" s="5">
        <f>Sheet1!E61/SUM(Sheet1!$D61:$E61)</f>
        <v>0.76891105569409812</v>
      </c>
      <c r="F61" s="5">
        <f>Sheet1!F61/SUM(Sheet1!$F61:$G61)</f>
        <v>0.3482176360225141</v>
      </c>
      <c r="G61" s="5">
        <f>Sheet1!G61/SUM(Sheet1!$F61:$G61)</f>
        <v>0.6517823639774859</v>
      </c>
    </row>
    <row r="62" spans="1:7">
      <c r="A62" s="4">
        <v>44316</v>
      </c>
      <c r="B62" s="5">
        <f>Sheet1!B62/SUM(Sheet1!$B62:$C62)</f>
        <v>0.68292682926829273</v>
      </c>
      <c r="C62" s="5">
        <f>Sheet1!C62/SUM(Sheet1!$B62:$C62)</f>
        <v>0.31707317073170732</v>
      </c>
      <c r="D62" s="5">
        <f>Sheet1!D62/SUM(Sheet1!$D62:$E62)</f>
        <v>0.26307189542483661</v>
      </c>
      <c r="E62" s="5">
        <f>Sheet1!E62/SUM(Sheet1!$D62:$E62)</f>
        <v>0.73692810457516345</v>
      </c>
      <c r="F62" s="5">
        <f>Sheet1!F62/SUM(Sheet1!$F62:$G62)</f>
        <v>0.36650575566282956</v>
      </c>
      <c r="G62" s="5">
        <f>Sheet1!G62/SUM(Sheet1!$F62:$G62)</f>
        <v>0.63349424433717039</v>
      </c>
    </row>
    <row r="63" spans="1:7">
      <c r="A63" s="4">
        <v>44323</v>
      </c>
      <c r="B63" s="5">
        <f>Sheet1!B63/SUM(Sheet1!$B63:$C63)</f>
        <v>0.72868217054263562</v>
      </c>
      <c r="C63" s="5">
        <f>Sheet1!C63/SUM(Sheet1!$B63:$C63)</f>
        <v>0.27131782945736432</v>
      </c>
      <c r="D63" s="5">
        <f>Sheet1!D63/SUM(Sheet1!$D63:$E63)</f>
        <v>0.25204081632653064</v>
      </c>
      <c r="E63" s="5">
        <f>Sheet1!E63/SUM(Sheet1!$D63:$E63)</f>
        <v>0.74795918367346936</v>
      </c>
      <c r="F63" s="5">
        <f>Sheet1!F63/SUM(Sheet1!$F63:$G63)</f>
        <v>0.3690153568202349</v>
      </c>
      <c r="G63" s="5">
        <f>Sheet1!G63/SUM(Sheet1!$F63:$G63)</f>
        <v>0.6309846431797651</v>
      </c>
    </row>
    <row r="64" spans="1:7">
      <c r="A64" s="4">
        <v>44330</v>
      </c>
      <c r="B64" s="5">
        <f>Sheet1!B64/SUM(Sheet1!$B64:$C64)</f>
        <v>0.71523178807947019</v>
      </c>
      <c r="C64" s="5">
        <f>Sheet1!C64/SUM(Sheet1!$B64:$C64)</f>
        <v>0.28476821192052981</v>
      </c>
      <c r="D64" s="5">
        <f>Sheet1!D64/SUM(Sheet1!$D64:$E64)</f>
        <v>0.24508966695132364</v>
      </c>
      <c r="E64" s="5">
        <f>Sheet1!E64/SUM(Sheet1!$D64:$E64)</f>
        <v>0.75491033304867639</v>
      </c>
      <c r="F64" s="5">
        <f>Sheet1!F64/SUM(Sheet1!$F64:$G64)</f>
        <v>0.36211388165240044</v>
      </c>
      <c r="G64" s="5">
        <f>Sheet1!G64/SUM(Sheet1!$F64:$G64)</f>
        <v>0.63788611834759956</v>
      </c>
    </row>
    <row r="65" spans="1:7">
      <c r="A65" s="4">
        <v>44337</v>
      </c>
      <c r="B65" s="5">
        <f>Sheet1!B65/SUM(Sheet1!$B65:$C65)</f>
        <v>0.61682242990654201</v>
      </c>
      <c r="C65" s="5">
        <f>Sheet1!C65/SUM(Sheet1!$B65:$C65)</f>
        <v>0.38317757009345793</v>
      </c>
      <c r="D65" s="5">
        <f>Sheet1!D65/SUM(Sheet1!$D65:$E65)</f>
        <v>0.23821765209940018</v>
      </c>
      <c r="E65" s="5">
        <f>Sheet1!E65/SUM(Sheet1!$D65:$E65)</f>
        <v>0.76178234790059984</v>
      </c>
      <c r="F65" s="5">
        <f>Sheet1!F65/SUM(Sheet1!$F65:$G65)</f>
        <v>0.36769759450171824</v>
      </c>
      <c r="G65" s="5">
        <f>Sheet1!G65/SUM(Sheet1!$F65:$G65)</f>
        <v>0.63230240549828176</v>
      </c>
    </row>
    <row r="66" spans="1:7">
      <c r="A66" s="4">
        <v>44344</v>
      </c>
      <c r="B66" s="5">
        <f>Sheet1!B66/SUM(Sheet1!$B66:$C66)</f>
        <v>0.73684210526315785</v>
      </c>
      <c r="C66" s="5">
        <f>Sheet1!C66/SUM(Sheet1!$B66:$C66)</f>
        <v>0.26315789473684209</v>
      </c>
      <c r="D66" s="5">
        <f>Sheet1!D66/SUM(Sheet1!$D66:$E66)</f>
        <v>0.25466417910447764</v>
      </c>
      <c r="E66" s="5">
        <f>Sheet1!E66/SUM(Sheet1!$D66:$E66)</f>
        <v>0.74533582089552242</v>
      </c>
      <c r="F66" s="5">
        <f>Sheet1!F66/SUM(Sheet1!$F66:$G66)</f>
        <v>0.35441061670569868</v>
      </c>
      <c r="G66" s="5">
        <f>Sheet1!G66/SUM(Sheet1!$F66:$G66)</f>
        <v>0.64558938329430138</v>
      </c>
    </row>
    <row r="67" spans="1:7">
      <c r="A67" s="4">
        <v>44351</v>
      </c>
      <c r="B67" s="5">
        <f>Sheet1!B67/SUM(Sheet1!$B67:$C67)</f>
        <v>0.58163265306122447</v>
      </c>
      <c r="C67" s="5">
        <f>Sheet1!C67/SUM(Sheet1!$B67:$C67)</f>
        <v>0.41836734693877553</v>
      </c>
      <c r="D67" s="5">
        <f>Sheet1!D67/SUM(Sheet1!$D67:$E67)</f>
        <v>0.21305841924398625</v>
      </c>
      <c r="E67" s="5">
        <f>Sheet1!E67/SUM(Sheet1!$D67:$E67)</f>
        <v>0.78694158075601373</v>
      </c>
      <c r="F67" s="5">
        <f>Sheet1!F67/SUM(Sheet1!$F67:$G67)</f>
        <v>0.34108527131782945</v>
      </c>
      <c r="G67" s="5">
        <f>Sheet1!G67/SUM(Sheet1!$F67:$G67)</f>
        <v>0.65891472868217049</v>
      </c>
    </row>
    <row r="68" spans="1:7">
      <c r="A68" s="4">
        <v>44358</v>
      </c>
      <c r="B68" s="5">
        <f>Sheet1!B68/SUM(Sheet1!$B68:$C68)</f>
        <v>0.7857142857142857</v>
      </c>
      <c r="C68" s="5">
        <f>Sheet1!C68/SUM(Sheet1!$B68:$C68)</f>
        <v>0.21428571428571427</v>
      </c>
      <c r="D68" s="5">
        <f>Sheet1!D68/SUM(Sheet1!$D68:$E68)</f>
        <v>0.25107480653482372</v>
      </c>
      <c r="E68" s="5">
        <f>Sheet1!E68/SUM(Sheet1!$D68:$E68)</f>
        <v>0.74892519346517628</v>
      </c>
      <c r="F68" s="5">
        <f>Sheet1!F68/SUM(Sheet1!$F68:$G68)</f>
        <v>0.36062523260141421</v>
      </c>
      <c r="G68" s="5">
        <f>Sheet1!G68/SUM(Sheet1!$F68:$G68)</f>
        <v>0.63937476739858579</v>
      </c>
    </row>
    <row r="69" spans="1:7">
      <c r="A69" s="4">
        <v>44365</v>
      </c>
      <c r="B69" s="5">
        <f>Sheet1!B69/SUM(Sheet1!$B69:$C69)</f>
        <v>0.72549019607843135</v>
      </c>
      <c r="C69" s="5">
        <f>Sheet1!C69/SUM(Sheet1!$B69:$C69)</f>
        <v>0.27450980392156865</v>
      </c>
      <c r="D69" s="5">
        <f>Sheet1!D69/SUM(Sheet1!$D69:$E69)</f>
        <v>0.2469597754911132</v>
      </c>
      <c r="E69" s="5">
        <f>Sheet1!E69/SUM(Sheet1!$D69:$E69)</f>
        <v>0.75304022450888686</v>
      </c>
      <c r="F69" s="5">
        <f>Sheet1!F69/SUM(Sheet1!$F69:$G69)</f>
        <v>0.3657258064516129</v>
      </c>
      <c r="G69" s="5">
        <f>Sheet1!G69/SUM(Sheet1!$F69:$G69)</f>
        <v>0.6342741935483871</v>
      </c>
    </row>
    <row r="70" spans="1:7">
      <c r="A70" s="4">
        <v>44372</v>
      </c>
      <c r="B70" s="5">
        <f>Sheet1!B70/SUM(Sheet1!$B70:$C70)</f>
        <v>0.84848484848484851</v>
      </c>
      <c r="C70" s="5">
        <f>Sheet1!C70/SUM(Sheet1!$B70:$C70)</f>
        <v>0.15151515151515152</v>
      </c>
      <c r="D70" s="5">
        <f>Sheet1!D70/SUM(Sheet1!$D70:$E70)</f>
        <v>0.24281466798810702</v>
      </c>
      <c r="E70" s="5">
        <f>Sheet1!E70/SUM(Sheet1!$D70:$E70)</f>
        <v>0.75718533201189298</v>
      </c>
      <c r="F70" s="5">
        <f>Sheet1!F70/SUM(Sheet1!$F70:$G70)</f>
        <v>0.35261353898886033</v>
      </c>
      <c r="G70" s="5">
        <f>Sheet1!G70/SUM(Sheet1!$F70:$G70)</f>
        <v>0.64738646101113972</v>
      </c>
    </row>
    <row r="71" spans="1:7">
      <c r="A71" s="4">
        <v>44379</v>
      </c>
      <c r="B71" s="5">
        <f>Sheet1!B71/SUM(Sheet1!$B71:$C71)</f>
        <v>0.77064220183486243</v>
      </c>
      <c r="C71" s="5">
        <f>Sheet1!C71/SUM(Sheet1!$B71:$C71)</f>
        <v>0.22935779816513763</v>
      </c>
      <c r="D71" s="5">
        <f>Sheet1!D71/SUM(Sheet1!$D71:$E71)</f>
        <v>0.23839009287925697</v>
      </c>
      <c r="E71" s="5">
        <f>Sheet1!E71/SUM(Sheet1!$D71:$E71)</f>
        <v>0.76160990712074306</v>
      </c>
      <c r="F71" s="5">
        <f>Sheet1!F71/SUM(Sheet1!$F71:$G71)</f>
        <v>0.36331255565449688</v>
      </c>
      <c r="G71" s="5">
        <f>Sheet1!G71/SUM(Sheet1!$F71:$G71)</f>
        <v>0.63668744434550306</v>
      </c>
    </row>
    <row r="72" spans="1:7">
      <c r="A72" s="4">
        <v>44386</v>
      </c>
      <c r="B72" s="5">
        <f>Sheet1!B72/SUM(Sheet1!$B72:$C72)</f>
        <v>0.80327868852459017</v>
      </c>
      <c r="C72" s="5">
        <f>Sheet1!C72/SUM(Sheet1!$B72:$C72)</f>
        <v>0.19672131147540983</v>
      </c>
      <c r="D72" s="5">
        <f>Sheet1!D72/SUM(Sheet1!$D72:$E72)</f>
        <v>0.21783876500857632</v>
      </c>
      <c r="E72" s="5">
        <f>Sheet1!E72/SUM(Sheet1!$D72:$E72)</f>
        <v>0.78216123499142365</v>
      </c>
      <c r="F72" s="5">
        <f>Sheet1!F72/SUM(Sheet1!$F72:$G72)</f>
        <v>0.35256166982922199</v>
      </c>
      <c r="G72" s="5">
        <f>Sheet1!G72/SUM(Sheet1!$F72:$G72)</f>
        <v>0.64743833017077801</v>
      </c>
    </row>
    <row r="73" spans="1:7">
      <c r="A73" s="4">
        <v>44393</v>
      </c>
      <c r="B73" s="5">
        <f>Sheet1!B73/SUM(Sheet1!$B73:$C73)</f>
        <v>0.83027522935779818</v>
      </c>
      <c r="C73" s="5">
        <f>Sheet1!C73/SUM(Sheet1!$B73:$C73)</f>
        <v>0.16972477064220184</v>
      </c>
      <c r="D73" s="5">
        <f>Sheet1!D73/SUM(Sheet1!$D73:$E73)</f>
        <v>0.22799664710813075</v>
      </c>
      <c r="E73" s="5">
        <f>Sheet1!E73/SUM(Sheet1!$D73:$E73)</f>
        <v>0.77200335289186928</v>
      </c>
      <c r="F73" s="5">
        <f>Sheet1!F73/SUM(Sheet1!$F73:$G73)</f>
        <v>0.36007604562737644</v>
      </c>
      <c r="G73" s="5">
        <f>Sheet1!G73/SUM(Sheet1!$F73:$G73)</f>
        <v>0.63992395437262362</v>
      </c>
    </row>
    <row r="74" spans="1:7">
      <c r="A74" s="4">
        <v>44400</v>
      </c>
      <c r="B74" s="5">
        <f>Sheet1!B74/SUM(Sheet1!$B74:$C74)</f>
        <v>0.84709480122324154</v>
      </c>
      <c r="C74" s="5">
        <f>Sheet1!C74/SUM(Sheet1!$B74:$C74)</f>
        <v>0.1529051987767584</v>
      </c>
      <c r="D74" s="5">
        <f>Sheet1!D74/SUM(Sheet1!$D74:$E74)</f>
        <v>0.20836390315480557</v>
      </c>
      <c r="E74" s="5">
        <f>Sheet1!E74/SUM(Sheet1!$D74:$E74)</f>
        <v>0.79163609684519443</v>
      </c>
      <c r="F74" s="5">
        <f>Sheet1!F74/SUM(Sheet1!$F74:$G74)</f>
        <v>0.34728183118741057</v>
      </c>
      <c r="G74" s="5">
        <f>Sheet1!G74/SUM(Sheet1!$F74:$G74)</f>
        <v>0.65271816881258937</v>
      </c>
    </row>
    <row r="75" spans="1:7">
      <c r="A75" s="4">
        <v>44407</v>
      </c>
      <c r="B75" s="5">
        <f>Sheet1!B75/SUM(Sheet1!$B75:$C75)</f>
        <v>0.86138613861386137</v>
      </c>
      <c r="C75" s="5">
        <f>Sheet1!C75/SUM(Sheet1!$B75:$C75)</f>
        <v>0.13861386138613863</v>
      </c>
      <c r="D75" s="5">
        <f>Sheet1!D75/SUM(Sheet1!$D75:$E75)</f>
        <v>0.21052631578947367</v>
      </c>
      <c r="E75" s="5">
        <f>Sheet1!E75/SUM(Sheet1!$D75:$E75)</f>
        <v>0.78947368421052633</v>
      </c>
      <c r="F75" s="5">
        <f>Sheet1!F75/SUM(Sheet1!$F75:$G75)</f>
        <v>0.3498532768177372</v>
      </c>
      <c r="G75" s="5">
        <f>Sheet1!G75/SUM(Sheet1!$F75:$G75)</f>
        <v>0.65014672318226274</v>
      </c>
    </row>
    <row r="76" spans="1:7">
      <c r="A76" s="4">
        <v>44414</v>
      </c>
      <c r="B76" s="5">
        <f>Sheet1!B76/SUM(Sheet1!$B76:$C76)</f>
        <v>0.89753320683111959</v>
      </c>
      <c r="C76" s="5">
        <f>Sheet1!C76/SUM(Sheet1!$B76:$C76)</f>
        <v>0.10246679316888045</v>
      </c>
      <c r="D76" s="5">
        <f>Sheet1!D76/SUM(Sheet1!$D76:$E76)</f>
        <v>0.18138907619689817</v>
      </c>
      <c r="E76" s="5">
        <f>Sheet1!E76/SUM(Sheet1!$D76:$E76)</f>
        <v>0.81861092380310185</v>
      </c>
      <c r="F76" s="5">
        <f>Sheet1!F76/SUM(Sheet1!$F76:$G76)</f>
        <v>0.3360310780187763</v>
      </c>
      <c r="G76" s="5">
        <f>Sheet1!G76/SUM(Sheet1!$F76:$G76)</f>
        <v>0.6639689219812237</v>
      </c>
    </row>
    <row r="77" spans="1:7">
      <c r="A77" s="4">
        <v>44421</v>
      </c>
      <c r="B77" s="5">
        <f>Sheet1!B77/SUM(Sheet1!$B77:$C77)</f>
        <v>0.89667250437828372</v>
      </c>
      <c r="C77" s="5">
        <f>Sheet1!C77/SUM(Sheet1!$B77:$C77)</f>
        <v>0.10332749562171628</v>
      </c>
      <c r="D77" s="5">
        <f>Sheet1!D77/SUM(Sheet1!$D77:$E77)</f>
        <v>0.17771701982228297</v>
      </c>
      <c r="E77" s="5">
        <f>Sheet1!E77/SUM(Sheet1!$D77:$E77)</f>
        <v>0.82228298017771706</v>
      </c>
      <c r="F77" s="5">
        <f>Sheet1!F77/SUM(Sheet1!$F77:$G77)</f>
        <v>0.31617894382778339</v>
      </c>
      <c r="G77" s="5">
        <f>Sheet1!G77/SUM(Sheet1!$F77:$G77)</f>
        <v>0.68382105617221667</v>
      </c>
    </row>
    <row r="78" spans="1:7">
      <c r="A78" s="4">
        <v>44428</v>
      </c>
      <c r="B78" s="5">
        <f>Sheet1!B78/SUM(Sheet1!$B78:$C78)</f>
        <v>0.87192982456140355</v>
      </c>
      <c r="C78" s="5">
        <f>Sheet1!C78/SUM(Sheet1!$B78:$C78)</f>
        <v>0.1280701754385965</v>
      </c>
      <c r="D78" s="5">
        <f>Sheet1!D78/SUM(Sheet1!$D78:$E78)</f>
        <v>0.18560860793544048</v>
      </c>
      <c r="E78" s="5">
        <f>Sheet1!E78/SUM(Sheet1!$D78:$E78)</f>
        <v>0.81439139206455946</v>
      </c>
      <c r="F78" s="5">
        <f>Sheet1!F78/SUM(Sheet1!$F78:$G78)</f>
        <v>0.3244609164420485</v>
      </c>
      <c r="G78" s="5">
        <f>Sheet1!G78/SUM(Sheet1!$F78:$G78)</f>
        <v>0.67553908355795145</v>
      </c>
    </row>
    <row r="79" spans="1:7">
      <c r="A79" s="4">
        <v>44435</v>
      </c>
      <c r="B79" s="5">
        <f>Sheet1!B79/SUM(Sheet1!$B79:$C79)</f>
        <v>0.8772455089820359</v>
      </c>
      <c r="C79" s="5">
        <f>Sheet1!C79/SUM(Sheet1!$B79:$C79)</f>
        <v>0.12275449101796407</v>
      </c>
      <c r="D79" s="5">
        <f>Sheet1!D79/SUM(Sheet1!$D79:$E79)</f>
        <v>0.16379310344827586</v>
      </c>
      <c r="E79" s="5">
        <f>Sheet1!E79/SUM(Sheet1!$D79:$E79)</f>
        <v>0.83620689655172409</v>
      </c>
      <c r="F79" s="5">
        <f>Sheet1!F79/SUM(Sheet1!$F79:$G79)</f>
        <v>0.30925138934292251</v>
      </c>
      <c r="G79" s="5">
        <f>Sheet1!G79/SUM(Sheet1!$F79:$G79)</f>
        <v>0.69074861065707749</v>
      </c>
    </row>
    <row r="80" spans="1:7">
      <c r="A80" s="4">
        <v>44442</v>
      </c>
      <c r="B80" s="5">
        <f>Sheet1!B80/SUM(Sheet1!$B80:$C80)</f>
        <v>0.87708649468892264</v>
      </c>
      <c r="C80" s="5">
        <f>Sheet1!C80/SUM(Sheet1!$B80:$C80)</f>
        <v>0.12291350531107739</v>
      </c>
      <c r="D80" s="5">
        <f>Sheet1!D80/SUM(Sheet1!$D80:$E80)</f>
        <v>0.18194945848375452</v>
      </c>
      <c r="E80" s="5">
        <f>Sheet1!E80/SUM(Sheet1!$D80:$E80)</f>
        <v>0.81805054151624546</v>
      </c>
      <c r="F80" s="5">
        <f>Sheet1!F80/SUM(Sheet1!$F80:$G80)</f>
        <v>0.29582854955989285</v>
      </c>
      <c r="G80" s="5">
        <f>Sheet1!G80/SUM(Sheet1!$F80:$G80)</f>
        <v>0.70417145044010721</v>
      </c>
    </row>
    <row r="81" spans="1:7">
      <c r="A81" s="4">
        <v>44449</v>
      </c>
      <c r="B81" s="5">
        <f>Sheet1!B81/SUM(Sheet1!$B81:$C81)</f>
        <v>0.86931155192532084</v>
      </c>
      <c r="C81" s="5">
        <f>Sheet1!C81/SUM(Sheet1!$B81:$C81)</f>
        <v>0.13068844807467911</v>
      </c>
      <c r="D81" s="5">
        <f>Sheet1!D81/SUM(Sheet1!$D81:$E81)</f>
        <v>0.16628175519630484</v>
      </c>
      <c r="E81" s="5">
        <f>Sheet1!E81/SUM(Sheet1!$D81:$E81)</f>
        <v>0.83371824480369516</v>
      </c>
      <c r="F81" s="5">
        <f>Sheet1!F81/SUM(Sheet1!$F81:$G81)</f>
        <v>0.30465949820788529</v>
      </c>
      <c r="G81" s="5">
        <f>Sheet1!G81/SUM(Sheet1!$F81:$G81)</f>
        <v>0.69534050179211471</v>
      </c>
    </row>
    <row r="82" spans="1:7">
      <c r="A82" s="4">
        <v>44456</v>
      </c>
      <c r="B82" s="5">
        <f>Sheet1!B82/SUM(Sheet1!$B82:$C82)</f>
        <v>0.86016451233842539</v>
      </c>
      <c r="C82" s="5">
        <f>Sheet1!C82/SUM(Sheet1!$B82:$C82)</f>
        <v>0.13983548766157461</v>
      </c>
      <c r="D82" s="5">
        <f>Sheet1!D82/SUM(Sheet1!$D82:$E82)</f>
        <v>0.16996699669966997</v>
      </c>
      <c r="E82" s="5">
        <f>Sheet1!E82/SUM(Sheet1!$D82:$E82)</f>
        <v>0.83003300330033003</v>
      </c>
      <c r="F82" s="5">
        <f>Sheet1!F82/SUM(Sheet1!$F82:$G82)</f>
        <v>0.30966638152266895</v>
      </c>
      <c r="G82" s="5">
        <f>Sheet1!G82/SUM(Sheet1!$F82:$G82)</f>
        <v>0.6903336184773311</v>
      </c>
    </row>
    <row r="83" spans="1:7">
      <c r="A83" s="4">
        <v>44463</v>
      </c>
      <c r="B83" s="5">
        <f>Sheet1!B83/SUM(Sheet1!$B83:$C83)</f>
        <v>0.86148648648648651</v>
      </c>
      <c r="C83" s="5">
        <f>Sheet1!C83/SUM(Sheet1!$B83:$C83)</f>
        <v>0.13851351351351351</v>
      </c>
      <c r="D83" s="5">
        <f>Sheet1!D83/SUM(Sheet1!$D83:$E83)</f>
        <v>0.1664785553047404</v>
      </c>
      <c r="E83" s="5">
        <f>Sheet1!E83/SUM(Sheet1!$D83:$E83)</f>
        <v>0.83352144469525957</v>
      </c>
      <c r="F83" s="5">
        <f>Sheet1!F83/SUM(Sheet1!$F83:$G83)</f>
        <v>0.29576624925462136</v>
      </c>
      <c r="G83" s="5">
        <f>Sheet1!G83/SUM(Sheet1!$F83:$G83)</f>
        <v>0.70423375074537864</v>
      </c>
    </row>
    <row r="84" spans="1:7">
      <c r="A84" s="4">
        <v>44470</v>
      </c>
      <c r="B84" s="5">
        <f>Sheet1!B84/SUM(Sheet1!$B84:$C84)</f>
        <v>0.85951468710089396</v>
      </c>
      <c r="C84" s="5">
        <f>Sheet1!C84/SUM(Sheet1!$B84:$C84)</f>
        <v>0.14048531289910601</v>
      </c>
      <c r="D84" s="5">
        <f>Sheet1!D84/SUM(Sheet1!$D84:$E84)</f>
        <v>0.16289038579301898</v>
      </c>
      <c r="E84" s="5">
        <f>Sheet1!E84/SUM(Sheet1!$D84:$E84)</f>
        <v>0.83710961420698105</v>
      </c>
      <c r="F84" s="5">
        <f>Sheet1!F84/SUM(Sheet1!$F84:$G84)</f>
        <v>0.30781448538754763</v>
      </c>
      <c r="G84" s="5">
        <f>Sheet1!G84/SUM(Sheet1!$F84:$G84)</f>
        <v>0.69218551461245237</v>
      </c>
    </row>
    <row r="85" spans="1:7">
      <c r="A85" s="4">
        <v>44477</v>
      </c>
      <c r="B85" s="5">
        <f>Sheet1!B85/SUM(Sheet1!$B85:$C85)</f>
        <v>0.85135135135135132</v>
      </c>
      <c r="C85" s="5">
        <f>Sheet1!C85/SUM(Sheet1!$B85:$C85)</f>
        <v>0.14864864864864866</v>
      </c>
      <c r="D85" s="5">
        <f>Sheet1!D85/SUM(Sheet1!$D85:$E85)</f>
        <v>0.19542362399505256</v>
      </c>
      <c r="E85" s="5">
        <f>Sheet1!E85/SUM(Sheet1!$D85:$E85)</f>
        <v>0.80457637600494747</v>
      </c>
      <c r="F85" s="5">
        <f>Sheet1!F85/SUM(Sheet1!$F85:$G85)</f>
        <v>0.3334373050530256</v>
      </c>
      <c r="G85" s="5">
        <f>Sheet1!G85/SUM(Sheet1!$F85:$G85)</f>
        <v>0.6665626949469744</v>
      </c>
    </row>
    <row r="86" spans="1:7">
      <c r="A86" s="4">
        <v>44484</v>
      </c>
      <c r="B86" s="5">
        <f>Sheet1!B86/SUM(Sheet1!$B86:$C86)</f>
        <v>0.85553997194950915</v>
      </c>
      <c r="C86" s="5">
        <f>Sheet1!C86/SUM(Sheet1!$B86:$C86)</f>
        <v>0.14446002805049088</v>
      </c>
      <c r="D86" s="5">
        <f>Sheet1!D86/SUM(Sheet1!$D86:$E86)</f>
        <v>0.2012724117987276</v>
      </c>
      <c r="E86" s="5">
        <f>Sheet1!E86/SUM(Sheet1!$D86:$E86)</f>
        <v>0.79872758820127243</v>
      </c>
      <c r="F86" s="5">
        <f>Sheet1!F86/SUM(Sheet1!$F86:$G86)</f>
        <v>0.33955115126785196</v>
      </c>
      <c r="G86" s="5">
        <f>Sheet1!G86/SUM(Sheet1!$F86:$G86)</f>
        <v>0.66044884873214804</v>
      </c>
    </row>
    <row r="87" spans="1:7">
      <c r="A87" s="4">
        <v>44491</v>
      </c>
      <c r="B87" s="5">
        <f>Sheet1!B87/SUM(Sheet1!$B87:$C87)</f>
        <v>0.82954545454545459</v>
      </c>
      <c r="C87" s="5">
        <f>Sheet1!C87/SUM(Sheet1!$B87:$C87)</f>
        <v>0.17045454545454544</v>
      </c>
      <c r="D87" s="5">
        <f>Sheet1!D87/SUM(Sheet1!$D87:$E87)</f>
        <v>0.18569174118884799</v>
      </c>
      <c r="E87" s="5">
        <f>Sheet1!E87/SUM(Sheet1!$D87:$E87)</f>
        <v>0.81430825881115199</v>
      </c>
      <c r="F87" s="5">
        <f>Sheet1!F87/SUM(Sheet1!$F87:$G87)</f>
        <v>0.32687517298643787</v>
      </c>
      <c r="G87" s="5">
        <f>Sheet1!G87/SUM(Sheet1!$F87:$G87)</f>
        <v>0.67312482701356213</v>
      </c>
    </row>
    <row r="88" spans="1:7">
      <c r="A88" s="4">
        <v>44498</v>
      </c>
      <c r="B88" s="5">
        <f>Sheet1!B88/SUM(Sheet1!$B88:$C88)</f>
        <v>0.8474970896391153</v>
      </c>
      <c r="C88" s="5">
        <f>Sheet1!C88/SUM(Sheet1!$B88:$C88)</f>
        <v>0.15250291036088476</v>
      </c>
      <c r="D88" s="5">
        <f>Sheet1!D88/SUM(Sheet1!$D88:$E88)</f>
        <v>0.18623702894593119</v>
      </c>
      <c r="E88" s="5">
        <f>Sheet1!E88/SUM(Sheet1!$D88:$E88)</f>
        <v>0.81376297105406881</v>
      </c>
      <c r="F88" s="5">
        <f>Sheet1!F88/SUM(Sheet1!$F88:$G88)</f>
        <v>0.33418803418803417</v>
      </c>
      <c r="G88" s="5">
        <f>Sheet1!G88/SUM(Sheet1!$F88:$G88)</f>
        <v>0.66581196581196578</v>
      </c>
    </row>
    <row r="89" spans="1:7">
      <c r="A89" s="4">
        <v>44505</v>
      </c>
      <c r="B89" s="5">
        <f>Sheet1!B89/SUM(Sheet1!$B89:$C89)</f>
        <v>0.86834170854271353</v>
      </c>
      <c r="C89" s="5">
        <f>Sheet1!C89/SUM(Sheet1!$B89:$C89)</f>
        <v>0.13165829145728644</v>
      </c>
      <c r="D89" s="5">
        <f>Sheet1!D89/SUM(Sheet1!$D89:$E89)</f>
        <v>0.18648130393096837</v>
      </c>
      <c r="E89" s="5">
        <f>Sheet1!E89/SUM(Sheet1!$D89:$E89)</f>
        <v>0.8135186960690316</v>
      </c>
      <c r="F89" s="5">
        <f>Sheet1!F89/SUM(Sheet1!$F89:$G89)</f>
        <v>0.33137305037074916</v>
      </c>
      <c r="G89" s="5">
        <f>Sheet1!G89/SUM(Sheet1!$F89:$G89)</f>
        <v>0.66862694962925084</v>
      </c>
    </row>
    <row r="90" spans="1:7">
      <c r="A90" s="4">
        <v>44512</v>
      </c>
      <c r="B90" s="5">
        <f>Sheet1!B90/SUM(Sheet1!$B90:$C90)</f>
        <v>0.8411764705882353</v>
      </c>
      <c r="C90" s="5">
        <f>Sheet1!C90/SUM(Sheet1!$B90:$C90)</f>
        <v>0.1588235294117647</v>
      </c>
      <c r="D90" s="5">
        <f>Sheet1!D90/SUM(Sheet1!$D90:$E90)</f>
        <v>0.18156553960166744</v>
      </c>
      <c r="E90" s="5">
        <f>Sheet1!E90/SUM(Sheet1!$D90:$E90)</f>
        <v>0.81843446039833256</v>
      </c>
      <c r="F90" s="5">
        <f>Sheet1!F90/SUM(Sheet1!$F90:$G90)</f>
        <v>0.32311908320876931</v>
      </c>
      <c r="G90" s="5">
        <f>Sheet1!G90/SUM(Sheet1!$F90:$G90)</f>
        <v>0.67688091679123075</v>
      </c>
    </row>
    <row r="91" spans="1:7">
      <c r="A91" s="4">
        <v>44519</v>
      </c>
      <c r="B91" s="5">
        <f>Sheet1!B91/SUM(Sheet1!$B91:$C91)</f>
        <v>0.85924369747899154</v>
      </c>
      <c r="C91" s="5">
        <f>Sheet1!C91/SUM(Sheet1!$B91:$C91)</f>
        <v>0.1407563025210084</v>
      </c>
      <c r="D91" s="5">
        <f>Sheet1!D91/SUM(Sheet1!$D91:$E91)</f>
        <v>0.19897003745318351</v>
      </c>
      <c r="E91" s="5">
        <f>Sheet1!E91/SUM(Sheet1!$D91:$E91)</f>
        <v>0.80102996254681647</v>
      </c>
      <c r="F91" s="5">
        <f>Sheet1!F91/SUM(Sheet1!$F91:$G91)</f>
        <v>0.3383723859914336</v>
      </c>
      <c r="G91" s="5">
        <f>Sheet1!G91/SUM(Sheet1!$F91:$G91)</f>
        <v>0.6616276140085664</v>
      </c>
    </row>
    <row r="92" spans="1:7">
      <c r="A92" s="4">
        <v>44526</v>
      </c>
      <c r="B92" s="5">
        <f>Sheet1!B92/SUM(Sheet1!$B92:$C92)</f>
        <v>0.83476132190942476</v>
      </c>
      <c r="C92" s="5">
        <f>Sheet1!C92/SUM(Sheet1!$B92:$C92)</f>
        <v>0.16523867809057527</v>
      </c>
      <c r="D92" s="5">
        <f>Sheet1!D92/SUM(Sheet1!$D92:$E92)</f>
        <v>0.18592964824120603</v>
      </c>
      <c r="E92" s="5">
        <f>Sheet1!E92/SUM(Sheet1!$D92:$E92)</f>
        <v>0.81407035175879394</v>
      </c>
      <c r="F92" s="5">
        <f>Sheet1!F92/SUM(Sheet1!$F92:$G92)</f>
        <v>0.33721875847113036</v>
      </c>
      <c r="G92" s="5">
        <f>Sheet1!G92/SUM(Sheet1!$F92:$G92)</f>
        <v>0.66278124152886964</v>
      </c>
    </row>
    <row r="93" spans="1:7">
      <c r="A93" s="4">
        <v>44533</v>
      </c>
      <c r="B93" s="5">
        <f>Sheet1!B93/SUM(Sheet1!$B93:$C93)</f>
        <v>0.83080808080808077</v>
      </c>
      <c r="C93" s="5">
        <f>Sheet1!C93/SUM(Sheet1!$B93:$C93)</f>
        <v>0.1691919191919192</v>
      </c>
      <c r="D93" s="5">
        <f>Sheet1!D93/SUM(Sheet1!$D93:$E93)</f>
        <v>0.19011598587997983</v>
      </c>
      <c r="E93" s="5">
        <f>Sheet1!E93/SUM(Sheet1!$D93:$E93)</f>
        <v>0.8098840141200202</v>
      </c>
      <c r="F93" s="5">
        <f>Sheet1!F93/SUM(Sheet1!$F93:$G93)</f>
        <v>0.34711614432446669</v>
      </c>
      <c r="G93" s="5">
        <f>Sheet1!G93/SUM(Sheet1!$F93:$G93)</f>
        <v>0.65288385567553331</v>
      </c>
    </row>
    <row r="94" spans="1:7">
      <c r="A94" s="4">
        <v>44540</v>
      </c>
      <c r="B94" s="5">
        <f>Sheet1!B94/SUM(Sheet1!$B94:$C94)</f>
        <v>0.86518324607329844</v>
      </c>
      <c r="C94" s="5">
        <f>Sheet1!C94/SUM(Sheet1!$B94:$C94)</f>
        <v>0.13481675392670156</v>
      </c>
      <c r="D94" s="5">
        <f>Sheet1!D94/SUM(Sheet1!$D94:$E94)</f>
        <v>0.1991444866920152</v>
      </c>
      <c r="E94" s="5">
        <f>Sheet1!E94/SUM(Sheet1!$D94:$E94)</f>
        <v>0.80085551330798477</v>
      </c>
      <c r="F94" s="5">
        <f>Sheet1!F94/SUM(Sheet1!$F94:$G94)</f>
        <v>0.34966088922381311</v>
      </c>
      <c r="G94" s="5">
        <f>Sheet1!G94/SUM(Sheet1!$F94:$G94)</f>
        <v>0.65033911077618689</v>
      </c>
    </row>
    <row r="95" spans="1:7">
      <c r="A95" s="4">
        <v>44547</v>
      </c>
      <c r="B95" s="5">
        <f>Sheet1!B95/SUM(Sheet1!$B95:$C95)</f>
        <v>0.84900662251655634</v>
      </c>
      <c r="C95" s="5">
        <f>Sheet1!C95/SUM(Sheet1!$B95:$C95)</f>
        <v>0.15099337748344371</v>
      </c>
      <c r="D95" s="5">
        <f>Sheet1!D95/SUM(Sheet1!$D95:$E95)</f>
        <v>0.2119236143455985</v>
      </c>
      <c r="E95" s="5">
        <f>Sheet1!E95/SUM(Sheet1!$D95:$E95)</f>
        <v>0.78807638565440152</v>
      </c>
      <c r="F95" s="5">
        <f>Sheet1!F95/SUM(Sheet1!$F95:$G95)</f>
        <v>0.3607108549471662</v>
      </c>
      <c r="G95" s="5">
        <f>Sheet1!G95/SUM(Sheet1!$F95:$G95)</f>
        <v>0.63928914505283385</v>
      </c>
    </row>
    <row r="96" spans="1:7">
      <c r="A96" s="4">
        <v>44554</v>
      </c>
      <c r="B96" s="5">
        <f>Sheet1!B96/SUM(Sheet1!$B96:$C96)</f>
        <v>0.84859154929577463</v>
      </c>
      <c r="C96" s="5">
        <f>Sheet1!C96/SUM(Sheet1!$B96:$C96)</f>
        <v>0.15140845070422534</v>
      </c>
      <c r="D96" s="5">
        <f>Sheet1!D96/SUM(Sheet1!$D96:$E96)</f>
        <v>0.22173723264949805</v>
      </c>
      <c r="E96" s="5">
        <f>Sheet1!E96/SUM(Sheet1!$D96:$E96)</f>
        <v>0.77826276735050193</v>
      </c>
      <c r="F96" s="5">
        <f>Sheet1!F96/SUM(Sheet1!$F96:$G96)</f>
        <v>0.38113994439295645</v>
      </c>
      <c r="G96" s="5">
        <f>Sheet1!G96/SUM(Sheet1!$F96:$G96)</f>
        <v>0.6188600556070436</v>
      </c>
    </row>
    <row r="97" spans="1:7">
      <c r="A97" s="4">
        <v>44561</v>
      </c>
      <c r="B97" s="5">
        <f>Sheet1!B97/SUM(Sheet1!$B97:$C97)</f>
        <v>0.78006872852233677</v>
      </c>
      <c r="C97" s="5">
        <f>Sheet1!C97/SUM(Sheet1!$B97:$C97)</f>
        <v>0.21993127147766323</v>
      </c>
      <c r="D97" s="5">
        <f>Sheet1!D97/SUM(Sheet1!$D97:$E97)</f>
        <v>0.23164218958611482</v>
      </c>
      <c r="E97" s="5">
        <f>Sheet1!E97/SUM(Sheet1!$D97:$E97)</f>
        <v>0.76835781041388518</v>
      </c>
      <c r="F97" s="5">
        <f>Sheet1!F97/SUM(Sheet1!$F97:$G97)</f>
        <v>0.3649965205288796</v>
      </c>
      <c r="G97" s="5">
        <f>Sheet1!G97/SUM(Sheet1!$F97:$G97)</f>
        <v>0.63500347947112035</v>
      </c>
    </row>
    <row r="98" spans="1:7">
      <c r="A98" s="4">
        <v>44568</v>
      </c>
      <c r="B98" s="5">
        <f>Sheet1!B98/SUM(Sheet1!$B98:$C98)</f>
        <v>0.77223427331887207</v>
      </c>
      <c r="C98" s="5">
        <f>Sheet1!C98/SUM(Sheet1!$B98:$C98)</f>
        <v>0.22776572668112799</v>
      </c>
      <c r="D98" s="5">
        <f>Sheet1!D98/SUM(Sheet1!$D98:$E98)</f>
        <v>0.19459219858156029</v>
      </c>
      <c r="E98" s="5">
        <f>Sheet1!E98/SUM(Sheet1!$D98:$E98)</f>
        <v>0.80540780141843971</v>
      </c>
      <c r="F98" s="5">
        <f>Sheet1!F98/SUM(Sheet1!$F98:$G98)</f>
        <v>0.34720263281617303</v>
      </c>
      <c r="G98" s="5">
        <f>Sheet1!G98/SUM(Sheet1!$F98:$G98)</f>
        <v>0.65279736718382697</v>
      </c>
    </row>
    <row r="99" spans="1:7">
      <c r="A99" s="4">
        <v>44575</v>
      </c>
      <c r="B99" s="5">
        <f>Sheet1!B99/SUM(Sheet1!$B99:$C99)</f>
        <v>0.77424023154848043</v>
      </c>
      <c r="C99" s="5">
        <f>Sheet1!C99/SUM(Sheet1!$B99:$C99)</f>
        <v>0.22575976845151954</v>
      </c>
      <c r="D99" s="5">
        <f>Sheet1!D99/SUM(Sheet1!$D99:$E99)</f>
        <v>0.19643580396921831</v>
      </c>
      <c r="E99" s="5">
        <f>Sheet1!E99/SUM(Sheet1!$D99:$E99)</f>
        <v>0.80356419603078166</v>
      </c>
      <c r="F99" s="5">
        <f>Sheet1!F99/SUM(Sheet1!$F99:$G99)</f>
        <v>0.33085826599694257</v>
      </c>
      <c r="G99" s="5">
        <f>Sheet1!G99/SUM(Sheet1!$F99:$G99)</f>
        <v>0.66914173400305743</v>
      </c>
    </row>
    <row r="100" spans="1:7">
      <c r="A100" s="4">
        <v>44582</v>
      </c>
      <c r="B100" s="5">
        <f>Sheet1!B100/SUM(Sheet1!$B100:$C100)</f>
        <v>0.72911051212938005</v>
      </c>
      <c r="C100" s="5">
        <f>Sheet1!C100/SUM(Sheet1!$B100:$C100)</f>
        <v>0.27088948787061995</v>
      </c>
      <c r="D100" s="5">
        <f>Sheet1!D100/SUM(Sheet1!$D100:$E100)</f>
        <v>0.18785745710514737</v>
      </c>
      <c r="E100" s="5">
        <f>Sheet1!E100/SUM(Sheet1!$D100:$E100)</f>
        <v>0.81214254289485266</v>
      </c>
      <c r="F100" s="5">
        <f>Sheet1!F100/SUM(Sheet1!$F100:$G100)</f>
        <v>0.32270438743706548</v>
      </c>
      <c r="G100" s="5">
        <f>Sheet1!G100/SUM(Sheet1!$F100:$G100)</f>
        <v>0.67729561256293458</v>
      </c>
    </row>
    <row r="101" spans="1:7">
      <c r="A101" s="4">
        <v>44589</v>
      </c>
      <c r="B101" s="5">
        <f>Sheet1!B101/SUM(Sheet1!$B101:$C101)</f>
        <v>0.71191335740072204</v>
      </c>
      <c r="C101" s="5">
        <f>Sheet1!C101/SUM(Sheet1!$B101:$C101)</f>
        <v>0.28808664259927796</v>
      </c>
      <c r="D101" s="5">
        <f>Sheet1!D101/SUM(Sheet1!$D101:$E101)</f>
        <v>0.18346493265211333</v>
      </c>
      <c r="E101" s="5">
        <f>Sheet1!E101/SUM(Sheet1!$D101:$E101)</f>
        <v>0.81653506734788672</v>
      </c>
      <c r="F101" s="5">
        <f>Sheet1!F101/SUM(Sheet1!$F101:$G101)</f>
        <v>0.32346938775510203</v>
      </c>
      <c r="G101" s="5">
        <f>Sheet1!G101/SUM(Sheet1!$F101:$G101)</f>
        <v>0.67653061224489797</v>
      </c>
    </row>
    <row r="102" spans="1:7">
      <c r="A102" s="4">
        <v>44596</v>
      </c>
      <c r="B102" s="5">
        <f>Sheet1!B102/SUM(Sheet1!$B102:$C102)</f>
        <v>0.65780998389694045</v>
      </c>
      <c r="C102" s="5">
        <f>Sheet1!C102/SUM(Sheet1!$B102:$C102)</f>
        <v>0.3421900161030596</v>
      </c>
      <c r="D102" s="5">
        <f>Sheet1!D102/SUM(Sheet1!$D102:$E102)</f>
        <v>0.19572025052192066</v>
      </c>
      <c r="E102" s="5">
        <f>Sheet1!E102/SUM(Sheet1!$D102:$E102)</f>
        <v>0.80427974947807934</v>
      </c>
      <c r="F102" s="5">
        <f>Sheet1!F102/SUM(Sheet1!$F102:$G102)</f>
        <v>0.3271204754186926</v>
      </c>
      <c r="G102" s="5">
        <f>Sheet1!G102/SUM(Sheet1!$F102:$G102)</f>
        <v>0.6728795245813074</v>
      </c>
    </row>
    <row r="103" spans="1:7">
      <c r="A103" s="4">
        <v>44603</v>
      </c>
      <c r="B103" s="5">
        <f>Sheet1!B103/SUM(Sheet1!$B103:$C103)</f>
        <v>0.66135084427767354</v>
      </c>
      <c r="C103" s="5">
        <f>Sheet1!C103/SUM(Sheet1!$B103:$C103)</f>
        <v>0.33864915572232646</v>
      </c>
      <c r="D103" s="5">
        <f>Sheet1!D103/SUM(Sheet1!$D103:$E103)</f>
        <v>0.20412595005428882</v>
      </c>
      <c r="E103" s="5">
        <f>Sheet1!E103/SUM(Sheet1!$D103:$E103)</f>
        <v>0.7958740499457112</v>
      </c>
      <c r="F103" s="5">
        <f>Sheet1!F103/SUM(Sheet1!$F103:$G103)</f>
        <v>0.32540570789031897</v>
      </c>
      <c r="G103" s="5">
        <f>Sheet1!G103/SUM(Sheet1!$F103:$G103)</f>
        <v>0.67459429210968103</v>
      </c>
    </row>
    <row r="104" spans="1:7">
      <c r="A104" s="4">
        <v>44610</v>
      </c>
      <c r="B104" s="5">
        <f>Sheet1!B104/SUM(Sheet1!$B104:$C104)</f>
        <v>0.64774044032444955</v>
      </c>
      <c r="C104" s="5">
        <f>Sheet1!C104/SUM(Sheet1!$B104:$C104)</f>
        <v>0.35225955967555039</v>
      </c>
      <c r="D104" s="5">
        <f>Sheet1!D104/SUM(Sheet1!$D104:$E104)</f>
        <v>0.19510774606872452</v>
      </c>
      <c r="E104" s="5">
        <f>Sheet1!E104/SUM(Sheet1!$D104:$E104)</f>
        <v>0.8048922539312755</v>
      </c>
      <c r="F104" s="5">
        <f>Sheet1!F104/SUM(Sheet1!$F104:$G104)</f>
        <v>0.3280925541382379</v>
      </c>
      <c r="G104" s="5">
        <f>Sheet1!G104/SUM(Sheet1!$F104:$G104)</f>
        <v>0.6719074458617621</v>
      </c>
    </row>
    <row r="105" spans="1:7">
      <c r="A105" s="4">
        <v>44617</v>
      </c>
      <c r="B105" s="5">
        <f>Sheet1!B105/SUM(Sheet1!$B105:$C105)</f>
        <v>0.6566579634464752</v>
      </c>
      <c r="C105" s="5">
        <f>Sheet1!C105/SUM(Sheet1!$B105:$C105)</f>
        <v>0.3433420365535248</v>
      </c>
      <c r="D105" s="5">
        <f>Sheet1!D105/SUM(Sheet1!$D105:$E105)</f>
        <v>0.22374701670644392</v>
      </c>
      <c r="E105" s="5">
        <f>Sheet1!E105/SUM(Sheet1!$D105:$E105)</f>
        <v>0.77625298329355608</v>
      </c>
      <c r="F105" s="5">
        <f>Sheet1!F105/SUM(Sheet1!$F105:$G105)</f>
        <v>0.3470605789316622</v>
      </c>
      <c r="G105" s="5">
        <f>Sheet1!G105/SUM(Sheet1!$F105:$G105)</f>
        <v>0.6529394210683378</v>
      </c>
    </row>
    <row r="106" spans="1:7">
      <c r="A106" s="4">
        <v>44624</v>
      </c>
      <c r="B106" s="5">
        <f>Sheet1!B106/SUM(Sheet1!$B106:$C106)</f>
        <v>0.65522388059701497</v>
      </c>
      <c r="C106" s="5">
        <f>Sheet1!C106/SUM(Sheet1!$B106:$C106)</f>
        <v>0.34477611940298508</v>
      </c>
      <c r="D106" s="5">
        <f>Sheet1!D106/SUM(Sheet1!$D106:$E106)</f>
        <v>0.23072325164375374</v>
      </c>
      <c r="E106" s="5">
        <f>Sheet1!E106/SUM(Sheet1!$D106:$E106)</f>
        <v>0.76927674835624626</v>
      </c>
      <c r="F106" s="5">
        <f>Sheet1!F106/SUM(Sheet1!$F106:$G106)</f>
        <v>0.35701492537313434</v>
      </c>
      <c r="G106" s="5">
        <f>Sheet1!G106/SUM(Sheet1!$F106:$G106)</f>
        <v>0.64298507462686572</v>
      </c>
    </row>
    <row r="107" spans="1:7">
      <c r="A107" s="4">
        <v>44631</v>
      </c>
      <c r="B107" s="5">
        <f>Sheet1!B107/SUM(Sheet1!$B107:$C107)</f>
        <v>0.6214605067064084</v>
      </c>
      <c r="C107" s="5">
        <f>Sheet1!C107/SUM(Sheet1!$B107:$C107)</f>
        <v>0.37853949329359166</v>
      </c>
      <c r="D107" s="5">
        <f>Sheet1!D107/SUM(Sheet1!$D107:$E107)</f>
        <v>0.24004975124378108</v>
      </c>
      <c r="E107" s="5">
        <f>Sheet1!E107/SUM(Sheet1!$D107:$E107)</f>
        <v>0.75995024875621886</v>
      </c>
      <c r="F107" s="5">
        <f>Sheet1!F107/SUM(Sheet1!$F107:$G107)</f>
        <v>0.35422915416916617</v>
      </c>
      <c r="G107" s="5">
        <f>Sheet1!G107/SUM(Sheet1!$F107:$G107)</f>
        <v>0.64577084583083388</v>
      </c>
    </row>
    <row r="108" spans="1:7">
      <c r="A108" s="4">
        <v>44638</v>
      </c>
      <c r="B108" s="5">
        <f>Sheet1!B108/SUM(Sheet1!$B108:$C108)</f>
        <v>0.6530014641288433</v>
      </c>
      <c r="C108" s="5">
        <f>Sheet1!C108/SUM(Sheet1!$B108:$C108)</f>
        <v>0.34699853587115664</v>
      </c>
      <c r="D108" s="5">
        <f>Sheet1!D108/SUM(Sheet1!$D108:$E108)</f>
        <v>0.24221233312142404</v>
      </c>
      <c r="E108" s="5">
        <f>Sheet1!E108/SUM(Sheet1!$D108:$E108)</f>
        <v>0.75778766687857602</v>
      </c>
      <c r="F108" s="5">
        <f>Sheet1!F108/SUM(Sheet1!$F108:$G108)</f>
        <v>0.36363636363636365</v>
      </c>
      <c r="G108" s="5">
        <f>Sheet1!G108/SUM(Sheet1!$F108:$G108)</f>
        <v>0.63636363636363635</v>
      </c>
    </row>
    <row r="109" spans="1:7">
      <c r="A109" s="4">
        <v>44645</v>
      </c>
      <c r="B109" s="5">
        <f>Sheet1!B109/SUM(Sheet1!$B109:$C109)</f>
        <v>0.62564102564102564</v>
      </c>
      <c r="C109" s="5">
        <f>Sheet1!C109/SUM(Sheet1!$B109:$C109)</f>
        <v>0.37435897435897436</v>
      </c>
      <c r="D109" s="5">
        <f>Sheet1!D109/SUM(Sheet1!$D109:$E109)</f>
        <v>0.21846553966189858</v>
      </c>
      <c r="E109" s="5">
        <f>Sheet1!E109/SUM(Sheet1!$D109:$E109)</f>
        <v>0.78153446033810148</v>
      </c>
      <c r="F109" s="5">
        <f>Sheet1!F109/SUM(Sheet1!$F109:$G109)</f>
        <v>0.3417882054533925</v>
      </c>
      <c r="G109" s="5">
        <f>Sheet1!G109/SUM(Sheet1!$F109:$G109)</f>
        <v>0.6582117945466075</v>
      </c>
    </row>
    <row r="110" spans="1:7">
      <c r="A110" s="4">
        <v>44652</v>
      </c>
      <c r="B110" s="5">
        <f>Sheet1!B110/SUM(Sheet1!$B110:$C110)</f>
        <v>0.62016412661195774</v>
      </c>
      <c r="C110" s="5">
        <f>Sheet1!C110/SUM(Sheet1!$B110:$C110)</f>
        <v>0.3798358733880422</v>
      </c>
      <c r="D110" s="5">
        <f>Sheet1!D110/SUM(Sheet1!$D110:$E110)</f>
        <v>0.20140845070422536</v>
      </c>
      <c r="E110" s="5">
        <f>Sheet1!E110/SUM(Sheet1!$D110:$E110)</f>
        <v>0.79859154929577469</v>
      </c>
      <c r="F110" s="5">
        <f>Sheet1!F110/SUM(Sheet1!$F110:$G110)</f>
        <v>0.34056987788331072</v>
      </c>
      <c r="G110" s="5">
        <f>Sheet1!G110/SUM(Sheet1!$F110:$G110)</f>
        <v>0.65943012211668928</v>
      </c>
    </row>
    <row r="111" spans="1:7">
      <c r="B111" s="5"/>
      <c r="C111" s="5"/>
      <c r="D111" s="5"/>
      <c r="E111" s="5"/>
      <c r="F111" s="5"/>
      <c r="G111" s="5"/>
    </row>
    <row r="112" spans="1:7">
      <c r="B112" s="5">
        <f>Sheet1!B112/SUM(Sheet1!$B112:$C112)</f>
        <v>0.8710785463071512</v>
      </c>
      <c r="C112" s="5">
        <f>Sheet1!C112/SUM(Sheet1!$B112:$C112)</f>
        <v>0.12892145369284877</v>
      </c>
      <c r="D112" s="5">
        <f>Sheet1!D112/SUM(Sheet1!$D112:$E112)</f>
        <v>0.15969836729666478</v>
      </c>
      <c r="E112" s="5">
        <f>Sheet1!E112/SUM(Sheet1!$D112:$E112)</f>
        <v>0.84030163270333524</v>
      </c>
      <c r="F112" s="5">
        <f>Sheet1!F112/SUM(Sheet1!$F112:$G112)</f>
        <v>0.28560211968862709</v>
      </c>
      <c r="G112" s="5">
        <f>Sheet1!G112/SUM(Sheet1!$F112:$G112)</f>
        <v>0.71439788031137286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83A44878F964283EB1BA9DAF70F76" ma:contentTypeVersion="8" ma:contentTypeDescription="Create a new document." ma:contentTypeScope="" ma:versionID="535d2302216fa081feff6a35a6ad6abb">
  <xsd:schema xmlns:xsd="http://www.w3.org/2001/XMLSchema" xmlns:xs="http://www.w3.org/2001/XMLSchema" xmlns:p="http://schemas.microsoft.com/office/2006/metadata/properties" xmlns:ns2="7f0e4800-755e-4882-99aa-9f93f3bfab78" targetNamespace="http://schemas.microsoft.com/office/2006/metadata/properties" ma:root="true" ma:fieldsID="adb3e56e9303df65cfa9d405625c42d4" ns2:_="">
    <xsd:import namespace="7f0e4800-755e-4882-99aa-9f93f3bfa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e4800-755e-4882-99aa-9f93f3bfa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CF6C2-89DC-4678-BEAD-F693BEC74289}"/>
</file>

<file path=customXml/itemProps2.xml><?xml version="1.0" encoding="utf-8"?>
<ds:datastoreItem xmlns:ds="http://schemas.openxmlformats.org/officeDocument/2006/customXml" ds:itemID="{B2DE3E7A-9AE4-4EE8-8469-3CFFEF4B1F32}"/>
</file>

<file path=customXml/itemProps3.xml><?xml version="1.0" encoding="utf-8"?>
<ds:datastoreItem xmlns:ds="http://schemas.openxmlformats.org/officeDocument/2006/customXml" ds:itemID="{F531B875-12EF-4A22-BDA4-3E17B25BE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Rushton, Rachel</dc:creator>
  <cp:keywords/>
  <dc:description/>
  <cp:lastModifiedBy/>
  <cp:revision/>
  <dcterms:created xsi:type="dcterms:W3CDTF">2022-04-19T10:08:36Z</dcterms:created>
  <dcterms:modified xsi:type="dcterms:W3CDTF">2022-05-06T08:38:51Z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0x010100DB283A44878F964283EB1BA9DAF70F76</vt:lpwstr>
  </property>
</Properties>
</file>