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1900-1999\dvc1945-covid-v-flu\medianage\"/>
    </mc:Choice>
  </mc:AlternateContent>
  <xr:revisionPtr revIDLastSave="0" documentId="13_ncr:1_{4090F181-D402-475E-A571-DCD99353F893}" xr6:coauthVersionLast="47" xr6:coauthVersionMax="47" xr10:uidLastSave="{00000000-0000-0000-0000-000000000000}"/>
  <bookViews>
    <workbookView xWindow="-110" yWindow="-110" windowWidth="19420" windowHeight="10420" xr2:uid="{A8E59EAB-82A3-4A48-B6C9-66C4F6245BA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6" i="1" l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2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<sst xmlns="http://schemas.openxmlformats.org/spreadsheetml/2006/main" count="242" uniqueCount="17">
  <si>
    <t>Year</t>
  </si>
  <si>
    <t>Month</t>
  </si>
  <si>
    <t>Sex</t>
  </si>
  <si>
    <t>DueTo_F&amp;P_average_age</t>
  </si>
  <si>
    <t>P</t>
  </si>
  <si>
    <t>M</t>
  </si>
  <si>
    <t>F</t>
  </si>
  <si>
    <t>DueTo_COVID_average_age</t>
  </si>
  <si>
    <t>date</t>
  </si>
  <si>
    <t>All</t>
  </si>
  <si>
    <t>Male</t>
  </si>
  <si>
    <t>Female</t>
  </si>
  <si>
    <t>chiffre</t>
  </si>
  <si>
    <t>series</t>
  </si>
  <si>
    <t>category</t>
  </si>
  <si>
    <t>COVID-19</t>
  </si>
  <si>
    <t>Flu and pnuemonia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</si>
</sst>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7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3"/>
      <name val="Arial"/>
      <family val="2"/>
    </font>
    <font>
      <u/>
      <sz val="12"/>
      <color rgb="FF0000FF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Alignment="0" applyProtection="0"/>
    <xf numFmtId="0" fontId="2" fillId="0" borderId="0" applyNumberFormat="0" applyFill="0" applyAlignment="0" applyProtection="0"/>
    <xf numFmtId="0" fontId="5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0" fillId="0" borderId="0" xfId="0"/>
    <xf numFmtId="14" fontId="0" fillId="0" borderId="0" xfId="0" applyNumberFormat="1"/>
  </cellXfs>
  <cellStyles count="7">
    <cellStyle name="Comma [0] 2" xfId="3" xr:uid="{03DD8C6B-8B2C-4D56-8515-A4EDB9CFD322}"/>
    <cellStyle name="Heading 1 2" xfId="2" xr:uid="{B61C54EF-BF7D-47C9-BEEE-6098D90B7EE9}"/>
    <cellStyle name="Heading 2 2" xfId="1" xr:uid="{433D511D-53D9-44B9-ACB4-2C80BD82EF00}"/>
    <cellStyle name="Heading 3 2" xfId="4" xr:uid="{C2DC5A08-6FB7-4CE2-BB21-40F8B032AD4E}"/>
    <cellStyle name="Heading 4 2" xfId="5" xr:uid="{5330DDF8-91FC-40C1-804D-B5858B02F789}"/>
    <cellStyle name="Hyperlink" xfId="6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F17E-1B8E-4258-8848-13E938897500}">
  <dimension ref="A1:M76"/>
  <sheetViews>
    <sheetView tabSelected="1" topLeftCell="D66" workbookViewId="0">
      <selection activeCell="L2" sqref="L2:M76"/>
    </sheetView>
  </sheetViews>
  <sheetFormatPr defaultRowHeight="15.5" x14ac:dyDescent="0.35"/>
  <cols>
    <col min="4" max="4" width="22.765625" bestFit="1" customWidth="1"/>
    <col min="5" max="5" width="24.84375" bestFit="1" customWidth="1"/>
    <col min="7" max="7" width="10.23046875" bestFit="1" customWidth="1"/>
    <col min="13" max="13" width="17.1523437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G1" t="s">
        <v>8</v>
      </c>
      <c r="H1" t="s">
        <v>14</v>
      </c>
      <c r="I1" t="s">
        <v>12</v>
      </c>
      <c r="J1" t="s">
        <v>13</v>
      </c>
      <c r="L1" t="s">
        <v>12</v>
      </c>
      <c r="M1" t="s">
        <v>13</v>
      </c>
    </row>
    <row r="2" spans="1:13" x14ac:dyDescent="0.35">
      <c r="A2" s="2">
        <v>2022</v>
      </c>
      <c r="B2" s="2">
        <v>3</v>
      </c>
      <c r="C2" s="2" t="s">
        <v>4</v>
      </c>
      <c r="D2" s="2">
        <v>84</v>
      </c>
      <c r="E2" s="2">
        <v>83</v>
      </c>
      <c r="G2" s="3">
        <f>DATE(A2,B2,1)</f>
        <v>44621</v>
      </c>
      <c r="H2" t="str">
        <f>VLOOKUP(C2,Sheet2!A:B,2,FALSE)</f>
        <v>All</v>
      </c>
      <c r="I2">
        <f>E2</f>
        <v>83</v>
      </c>
      <c r="J2" s="2" t="s">
        <v>15</v>
      </c>
      <c r="L2">
        <f>D2</f>
        <v>84</v>
      </c>
      <c r="M2" s="2" t="s">
        <v>16</v>
      </c>
    </row>
    <row r="3" spans="1:13" x14ac:dyDescent="0.35">
      <c r="A3" s="2">
        <v>2022</v>
      </c>
      <c r="B3" s="2">
        <v>3</v>
      </c>
      <c r="C3" s="2" t="s">
        <v>5</v>
      </c>
      <c r="D3" s="2">
        <v>83</v>
      </c>
      <c r="E3" s="2">
        <v>82</v>
      </c>
      <c r="G3" s="3">
        <f t="shared" ref="G3:G66" si="0">DATE(A3,B3,1)</f>
        <v>44621</v>
      </c>
      <c r="H3" s="2" t="str">
        <f>VLOOKUP(C3,Sheet2!A:B,2,FALSE)</f>
        <v>Male</v>
      </c>
      <c r="I3" s="2">
        <f t="shared" ref="I3:I66" si="1">E3</f>
        <v>82</v>
      </c>
      <c r="J3" s="2" t="s">
        <v>15</v>
      </c>
      <c r="L3" s="2">
        <f t="shared" ref="L3:L66" si="2">D3</f>
        <v>83</v>
      </c>
      <c r="M3" s="2" t="s">
        <v>16</v>
      </c>
    </row>
    <row r="4" spans="1:13" x14ac:dyDescent="0.35">
      <c r="A4" s="2">
        <v>2022</v>
      </c>
      <c r="B4" s="2">
        <v>3</v>
      </c>
      <c r="C4" s="2" t="s">
        <v>6</v>
      </c>
      <c r="D4" s="2">
        <v>85</v>
      </c>
      <c r="E4" s="2">
        <v>84</v>
      </c>
      <c r="G4" s="3">
        <f t="shared" si="0"/>
        <v>44621</v>
      </c>
      <c r="H4" s="2" t="str">
        <f>VLOOKUP(C4,Sheet2!A:B,2,FALSE)</f>
        <v>Female</v>
      </c>
      <c r="I4" s="2">
        <f t="shared" si="1"/>
        <v>84</v>
      </c>
      <c r="J4" s="2" t="s">
        <v>15</v>
      </c>
      <c r="L4" s="2">
        <f t="shared" si="2"/>
        <v>85</v>
      </c>
      <c r="M4" s="2" t="s">
        <v>16</v>
      </c>
    </row>
    <row r="5" spans="1:13" x14ac:dyDescent="0.35">
      <c r="A5" s="2">
        <v>2022</v>
      </c>
      <c r="B5" s="2">
        <v>2</v>
      </c>
      <c r="C5" s="2" t="s">
        <v>4</v>
      </c>
      <c r="D5" s="2">
        <v>84</v>
      </c>
      <c r="E5" s="2">
        <v>81</v>
      </c>
      <c r="G5" s="3">
        <f t="shared" si="0"/>
        <v>44593</v>
      </c>
      <c r="H5" s="2" t="str">
        <f>VLOOKUP(C5,Sheet2!A:B,2,FALSE)</f>
        <v>All</v>
      </c>
      <c r="I5" s="2">
        <f t="shared" si="1"/>
        <v>81</v>
      </c>
      <c r="J5" s="2" t="s">
        <v>15</v>
      </c>
      <c r="L5" s="2">
        <f t="shared" si="2"/>
        <v>84</v>
      </c>
      <c r="M5" s="2" t="s">
        <v>16</v>
      </c>
    </row>
    <row r="6" spans="1:13" x14ac:dyDescent="0.35">
      <c r="A6" s="2">
        <v>2022</v>
      </c>
      <c r="B6" s="2">
        <v>2</v>
      </c>
      <c r="C6" s="2" t="s">
        <v>5</v>
      </c>
      <c r="D6" s="2">
        <v>83</v>
      </c>
      <c r="E6" s="2">
        <v>80</v>
      </c>
      <c r="G6" s="3">
        <f t="shared" si="0"/>
        <v>44593</v>
      </c>
      <c r="H6" s="2" t="str">
        <f>VLOOKUP(C6,Sheet2!A:B,2,FALSE)</f>
        <v>Male</v>
      </c>
      <c r="I6" s="2">
        <f t="shared" si="1"/>
        <v>80</v>
      </c>
      <c r="J6" s="2" t="s">
        <v>15</v>
      </c>
      <c r="L6" s="2">
        <f t="shared" si="2"/>
        <v>83</v>
      </c>
      <c r="M6" s="2" t="s">
        <v>16</v>
      </c>
    </row>
    <row r="7" spans="1:13" x14ac:dyDescent="0.35">
      <c r="A7" s="2">
        <v>2022</v>
      </c>
      <c r="B7" s="2">
        <v>2</v>
      </c>
      <c r="C7" s="2" t="s">
        <v>6</v>
      </c>
      <c r="D7" s="2">
        <v>86</v>
      </c>
      <c r="E7" s="2">
        <v>82</v>
      </c>
      <c r="G7" s="3">
        <f t="shared" si="0"/>
        <v>44593</v>
      </c>
      <c r="H7" s="2" t="str">
        <f>VLOOKUP(C7,Sheet2!A:B,2,FALSE)</f>
        <v>Female</v>
      </c>
      <c r="I7" s="2">
        <f t="shared" si="1"/>
        <v>82</v>
      </c>
      <c r="J7" s="2" t="s">
        <v>15</v>
      </c>
      <c r="L7" s="2">
        <f t="shared" si="2"/>
        <v>86</v>
      </c>
      <c r="M7" s="2" t="s">
        <v>16</v>
      </c>
    </row>
    <row r="8" spans="1:13" x14ac:dyDescent="0.35">
      <c r="A8" s="2">
        <v>2022</v>
      </c>
      <c r="B8" s="2">
        <v>1</v>
      </c>
      <c r="C8" s="2" t="s">
        <v>4</v>
      </c>
      <c r="D8" s="2">
        <v>84</v>
      </c>
      <c r="E8" s="2">
        <v>79</v>
      </c>
      <c r="G8" s="3">
        <f t="shared" si="0"/>
        <v>44562</v>
      </c>
      <c r="H8" s="2" t="str">
        <f>VLOOKUP(C8,Sheet2!A:B,2,FALSE)</f>
        <v>All</v>
      </c>
      <c r="I8" s="2">
        <f t="shared" si="1"/>
        <v>79</v>
      </c>
      <c r="J8" s="2" t="s">
        <v>15</v>
      </c>
      <c r="L8" s="2">
        <f t="shared" si="2"/>
        <v>84</v>
      </c>
      <c r="M8" s="2" t="s">
        <v>16</v>
      </c>
    </row>
    <row r="9" spans="1:13" x14ac:dyDescent="0.35">
      <c r="A9" s="2">
        <v>2022</v>
      </c>
      <c r="B9" s="2">
        <v>1</v>
      </c>
      <c r="C9" s="2" t="s">
        <v>5</v>
      </c>
      <c r="D9" s="2">
        <v>83</v>
      </c>
      <c r="E9" s="2">
        <v>78</v>
      </c>
      <c r="G9" s="3">
        <f t="shared" si="0"/>
        <v>44562</v>
      </c>
      <c r="H9" s="2" t="str">
        <f>VLOOKUP(C9,Sheet2!A:B,2,FALSE)</f>
        <v>Male</v>
      </c>
      <c r="I9" s="2">
        <f t="shared" si="1"/>
        <v>78</v>
      </c>
      <c r="J9" s="2" t="s">
        <v>15</v>
      </c>
      <c r="L9" s="2">
        <f t="shared" si="2"/>
        <v>83</v>
      </c>
      <c r="M9" s="2" t="s">
        <v>16</v>
      </c>
    </row>
    <row r="10" spans="1:13" x14ac:dyDescent="0.35">
      <c r="A10" s="2">
        <v>2022</v>
      </c>
      <c r="B10" s="2">
        <v>1</v>
      </c>
      <c r="C10" s="2" t="s">
        <v>6</v>
      </c>
      <c r="D10" s="2">
        <v>85</v>
      </c>
      <c r="E10" s="2">
        <v>81</v>
      </c>
      <c r="G10" s="3">
        <f t="shared" si="0"/>
        <v>44562</v>
      </c>
      <c r="H10" s="2" t="str">
        <f>VLOOKUP(C10,Sheet2!A:B,2,FALSE)</f>
        <v>Female</v>
      </c>
      <c r="I10" s="2">
        <f t="shared" si="1"/>
        <v>81</v>
      </c>
      <c r="J10" s="2" t="s">
        <v>15</v>
      </c>
      <c r="L10" s="2">
        <f t="shared" si="2"/>
        <v>85</v>
      </c>
      <c r="M10" s="2" t="s">
        <v>16</v>
      </c>
    </row>
    <row r="11" spans="1:13" x14ac:dyDescent="0.35">
      <c r="A11" s="2">
        <v>2021</v>
      </c>
      <c r="B11" s="2">
        <v>12</v>
      </c>
      <c r="C11" s="2" t="s">
        <v>4</v>
      </c>
      <c r="D11" s="2">
        <v>84</v>
      </c>
      <c r="E11" s="2">
        <v>74</v>
      </c>
      <c r="G11" s="3">
        <f t="shared" si="0"/>
        <v>44531</v>
      </c>
      <c r="H11" s="2" t="str">
        <f>VLOOKUP(C11,Sheet2!A:B,2,FALSE)</f>
        <v>All</v>
      </c>
      <c r="I11" s="2">
        <f t="shared" si="1"/>
        <v>74</v>
      </c>
      <c r="J11" s="2" t="s">
        <v>15</v>
      </c>
      <c r="L11" s="2">
        <f t="shared" si="2"/>
        <v>84</v>
      </c>
      <c r="M11" s="2" t="s">
        <v>16</v>
      </c>
    </row>
    <row r="12" spans="1:13" x14ac:dyDescent="0.35">
      <c r="A12" s="2">
        <v>2021</v>
      </c>
      <c r="B12" s="2">
        <v>12</v>
      </c>
      <c r="C12" s="2" t="s">
        <v>5</v>
      </c>
      <c r="D12" s="2">
        <v>82</v>
      </c>
      <c r="E12" s="2">
        <v>72</v>
      </c>
      <c r="G12" s="3">
        <f t="shared" si="0"/>
        <v>44531</v>
      </c>
      <c r="H12" s="2" t="str">
        <f>VLOOKUP(C12,Sheet2!A:B,2,FALSE)</f>
        <v>Male</v>
      </c>
      <c r="I12" s="2">
        <f t="shared" si="1"/>
        <v>72</v>
      </c>
      <c r="J12" s="2" t="s">
        <v>15</v>
      </c>
      <c r="L12" s="2">
        <f t="shared" si="2"/>
        <v>82</v>
      </c>
      <c r="M12" s="2" t="s">
        <v>16</v>
      </c>
    </row>
    <row r="13" spans="1:13" x14ac:dyDescent="0.35">
      <c r="A13" s="2">
        <v>2021</v>
      </c>
      <c r="B13" s="2">
        <v>12</v>
      </c>
      <c r="C13" s="2" t="s">
        <v>6</v>
      </c>
      <c r="D13" s="2">
        <v>87</v>
      </c>
      <c r="E13" s="2">
        <v>76</v>
      </c>
      <c r="G13" s="3">
        <f t="shared" si="0"/>
        <v>44531</v>
      </c>
      <c r="H13" s="2" t="str">
        <f>VLOOKUP(C13,Sheet2!A:B,2,FALSE)</f>
        <v>Female</v>
      </c>
      <c r="I13" s="2">
        <f t="shared" si="1"/>
        <v>76</v>
      </c>
      <c r="J13" s="2" t="s">
        <v>15</v>
      </c>
      <c r="L13" s="2">
        <f t="shared" si="2"/>
        <v>87</v>
      </c>
      <c r="M13" s="2" t="s">
        <v>16</v>
      </c>
    </row>
    <row r="14" spans="1:13" x14ac:dyDescent="0.35">
      <c r="A14" s="2">
        <v>2021</v>
      </c>
      <c r="B14" s="2">
        <v>11</v>
      </c>
      <c r="C14" s="2" t="s">
        <v>4</v>
      </c>
      <c r="D14" s="2">
        <v>84</v>
      </c>
      <c r="E14" s="2">
        <v>75</v>
      </c>
      <c r="G14" s="3">
        <f t="shared" si="0"/>
        <v>44501</v>
      </c>
      <c r="H14" s="2" t="str">
        <f>VLOOKUP(C14,Sheet2!A:B,2,FALSE)</f>
        <v>All</v>
      </c>
      <c r="I14" s="2">
        <f t="shared" si="1"/>
        <v>75</v>
      </c>
      <c r="J14" s="2" t="s">
        <v>15</v>
      </c>
      <c r="L14" s="2">
        <f t="shared" si="2"/>
        <v>84</v>
      </c>
      <c r="M14" s="2" t="s">
        <v>16</v>
      </c>
    </row>
    <row r="15" spans="1:13" x14ac:dyDescent="0.35">
      <c r="A15" s="2">
        <v>2021</v>
      </c>
      <c r="B15" s="2">
        <v>11</v>
      </c>
      <c r="C15" s="2" t="s">
        <v>5</v>
      </c>
      <c r="D15" s="2">
        <v>82</v>
      </c>
      <c r="E15" s="2">
        <v>75</v>
      </c>
      <c r="G15" s="3">
        <f t="shared" si="0"/>
        <v>44501</v>
      </c>
      <c r="H15" s="2" t="str">
        <f>VLOOKUP(C15,Sheet2!A:B,2,FALSE)</f>
        <v>Male</v>
      </c>
      <c r="I15" s="2">
        <f t="shared" si="1"/>
        <v>75</v>
      </c>
      <c r="J15" s="2" t="s">
        <v>15</v>
      </c>
      <c r="L15" s="2">
        <f t="shared" si="2"/>
        <v>82</v>
      </c>
      <c r="M15" s="2" t="s">
        <v>16</v>
      </c>
    </row>
    <row r="16" spans="1:13" x14ac:dyDescent="0.35">
      <c r="A16" s="2">
        <v>2021</v>
      </c>
      <c r="B16" s="2">
        <v>11</v>
      </c>
      <c r="C16" s="2" t="s">
        <v>6</v>
      </c>
      <c r="D16" s="2">
        <v>86</v>
      </c>
      <c r="E16" s="2">
        <v>77</v>
      </c>
      <c r="G16" s="3">
        <f t="shared" si="0"/>
        <v>44501</v>
      </c>
      <c r="H16" s="2" t="str">
        <f>VLOOKUP(C16,Sheet2!A:B,2,FALSE)</f>
        <v>Female</v>
      </c>
      <c r="I16" s="2">
        <f t="shared" si="1"/>
        <v>77</v>
      </c>
      <c r="J16" s="2" t="s">
        <v>15</v>
      </c>
      <c r="L16" s="2">
        <f t="shared" si="2"/>
        <v>86</v>
      </c>
      <c r="M16" s="2" t="s">
        <v>16</v>
      </c>
    </row>
    <row r="17" spans="1:13" x14ac:dyDescent="0.35">
      <c r="A17" s="2">
        <v>2021</v>
      </c>
      <c r="B17" s="2">
        <v>10</v>
      </c>
      <c r="C17" s="2" t="s">
        <v>4</v>
      </c>
      <c r="D17" s="2">
        <v>85</v>
      </c>
      <c r="E17" s="2">
        <v>77</v>
      </c>
      <c r="G17" s="3">
        <f t="shared" si="0"/>
        <v>44470</v>
      </c>
      <c r="H17" s="2" t="str">
        <f>VLOOKUP(C17,Sheet2!A:B,2,FALSE)</f>
        <v>All</v>
      </c>
      <c r="I17" s="2">
        <f t="shared" si="1"/>
        <v>77</v>
      </c>
      <c r="J17" s="2" t="s">
        <v>15</v>
      </c>
      <c r="L17" s="2">
        <f t="shared" si="2"/>
        <v>85</v>
      </c>
      <c r="M17" s="2" t="s">
        <v>16</v>
      </c>
    </row>
    <row r="18" spans="1:13" x14ac:dyDescent="0.35">
      <c r="A18" s="2">
        <v>2021</v>
      </c>
      <c r="B18" s="2">
        <v>10</v>
      </c>
      <c r="C18" s="2" t="s">
        <v>5</v>
      </c>
      <c r="D18" s="2">
        <v>83</v>
      </c>
      <c r="E18" s="2">
        <v>75</v>
      </c>
      <c r="G18" s="3">
        <f t="shared" si="0"/>
        <v>44470</v>
      </c>
      <c r="H18" s="2" t="str">
        <f>VLOOKUP(C18,Sheet2!A:B,2,FALSE)</f>
        <v>Male</v>
      </c>
      <c r="I18" s="2">
        <f t="shared" si="1"/>
        <v>75</v>
      </c>
      <c r="J18" s="2" t="s">
        <v>15</v>
      </c>
      <c r="L18" s="2">
        <f t="shared" si="2"/>
        <v>83</v>
      </c>
      <c r="M18" s="2" t="s">
        <v>16</v>
      </c>
    </row>
    <row r="19" spans="1:13" x14ac:dyDescent="0.35">
      <c r="A19" s="2">
        <v>2021</v>
      </c>
      <c r="B19" s="2">
        <v>10</v>
      </c>
      <c r="C19" s="2" t="s">
        <v>6</v>
      </c>
      <c r="D19" s="2">
        <v>86</v>
      </c>
      <c r="E19" s="2">
        <v>78</v>
      </c>
      <c r="G19" s="3">
        <f t="shared" si="0"/>
        <v>44470</v>
      </c>
      <c r="H19" s="2" t="str">
        <f>VLOOKUP(C19,Sheet2!A:B,2,FALSE)</f>
        <v>Female</v>
      </c>
      <c r="I19" s="2">
        <f t="shared" si="1"/>
        <v>78</v>
      </c>
      <c r="J19" s="2" t="s">
        <v>15</v>
      </c>
      <c r="L19" s="2">
        <f t="shared" si="2"/>
        <v>86</v>
      </c>
      <c r="M19" s="2" t="s">
        <v>16</v>
      </c>
    </row>
    <row r="20" spans="1:13" x14ac:dyDescent="0.35">
      <c r="A20" s="2">
        <v>2021</v>
      </c>
      <c r="B20" s="2">
        <v>9</v>
      </c>
      <c r="C20" s="2" t="s">
        <v>4</v>
      </c>
      <c r="D20" s="2">
        <v>84</v>
      </c>
      <c r="E20" s="2">
        <v>75</v>
      </c>
      <c r="G20" s="3">
        <f t="shared" si="0"/>
        <v>44440</v>
      </c>
      <c r="H20" s="2" t="str">
        <f>VLOOKUP(C20,Sheet2!A:B,2,FALSE)</f>
        <v>All</v>
      </c>
      <c r="I20" s="2">
        <f t="shared" si="1"/>
        <v>75</v>
      </c>
      <c r="J20" s="2" t="s">
        <v>15</v>
      </c>
      <c r="L20" s="2">
        <f t="shared" si="2"/>
        <v>84</v>
      </c>
      <c r="M20" s="2" t="s">
        <v>16</v>
      </c>
    </row>
    <row r="21" spans="1:13" x14ac:dyDescent="0.35">
      <c r="A21" s="2">
        <v>2021</v>
      </c>
      <c r="B21" s="2">
        <v>9</v>
      </c>
      <c r="C21" s="2" t="s">
        <v>5</v>
      </c>
      <c r="D21" s="2">
        <v>83</v>
      </c>
      <c r="E21" s="2">
        <v>75</v>
      </c>
      <c r="G21" s="3">
        <f t="shared" si="0"/>
        <v>44440</v>
      </c>
      <c r="H21" s="2" t="str">
        <f>VLOOKUP(C21,Sheet2!A:B,2,FALSE)</f>
        <v>Male</v>
      </c>
      <c r="I21" s="2">
        <f t="shared" si="1"/>
        <v>75</v>
      </c>
      <c r="J21" s="2" t="s">
        <v>15</v>
      </c>
      <c r="L21" s="2">
        <f t="shared" si="2"/>
        <v>83</v>
      </c>
      <c r="M21" s="2" t="s">
        <v>16</v>
      </c>
    </row>
    <row r="22" spans="1:13" x14ac:dyDescent="0.35">
      <c r="A22" s="2">
        <v>2021</v>
      </c>
      <c r="B22" s="2">
        <v>9</v>
      </c>
      <c r="C22" s="2" t="s">
        <v>6</v>
      </c>
      <c r="D22" s="2">
        <v>85</v>
      </c>
      <c r="E22" s="2">
        <v>76</v>
      </c>
      <c r="G22" s="3">
        <f t="shared" si="0"/>
        <v>44440</v>
      </c>
      <c r="H22" s="2" t="str">
        <f>VLOOKUP(C22,Sheet2!A:B,2,FALSE)</f>
        <v>Female</v>
      </c>
      <c r="I22" s="2">
        <f t="shared" si="1"/>
        <v>76</v>
      </c>
      <c r="J22" s="2" t="s">
        <v>15</v>
      </c>
      <c r="L22" s="2">
        <f t="shared" si="2"/>
        <v>85</v>
      </c>
      <c r="M22" s="2" t="s">
        <v>16</v>
      </c>
    </row>
    <row r="23" spans="1:13" x14ac:dyDescent="0.35">
      <c r="A23" s="2">
        <v>2021</v>
      </c>
      <c r="B23" s="2">
        <v>8</v>
      </c>
      <c r="C23" s="2" t="s">
        <v>4</v>
      </c>
      <c r="D23" s="2">
        <v>84</v>
      </c>
      <c r="E23" s="2">
        <v>74</v>
      </c>
      <c r="G23" s="3">
        <f t="shared" si="0"/>
        <v>44409</v>
      </c>
      <c r="H23" s="2" t="str">
        <f>VLOOKUP(C23,Sheet2!A:B,2,FALSE)</f>
        <v>All</v>
      </c>
      <c r="I23" s="2">
        <f t="shared" si="1"/>
        <v>74</v>
      </c>
      <c r="J23" s="2" t="s">
        <v>15</v>
      </c>
      <c r="L23" s="2">
        <f t="shared" si="2"/>
        <v>84</v>
      </c>
      <c r="M23" s="2" t="s">
        <v>16</v>
      </c>
    </row>
    <row r="24" spans="1:13" x14ac:dyDescent="0.35">
      <c r="A24" s="2">
        <v>2021</v>
      </c>
      <c r="B24" s="2">
        <v>8</v>
      </c>
      <c r="C24" s="2" t="s">
        <v>5</v>
      </c>
      <c r="D24" s="2">
        <v>82</v>
      </c>
      <c r="E24" s="2">
        <v>72</v>
      </c>
      <c r="G24" s="3">
        <f t="shared" si="0"/>
        <v>44409</v>
      </c>
      <c r="H24" s="2" t="str">
        <f>VLOOKUP(C24,Sheet2!A:B,2,FALSE)</f>
        <v>Male</v>
      </c>
      <c r="I24" s="2">
        <f t="shared" si="1"/>
        <v>72</v>
      </c>
      <c r="J24" s="2" t="s">
        <v>15</v>
      </c>
      <c r="L24" s="2">
        <f t="shared" si="2"/>
        <v>82</v>
      </c>
      <c r="M24" s="2" t="s">
        <v>16</v>
      </c>
    </row>
    <row r="25" spans="1:13" x14ac:dyDescent="0.35">
      <c r="A25" s="2">
        <v>2021</v>
      </c>
      <c r="B25" s="2">
        <v>8</v>
      </c>
      <c r="C25" s="2" t="s">
        <v>6</v>
      </c>
      <c r="D25" s="2">
        <v>86</v>
      </c>
      <c r="E25" s="2">
        <v>75</v>
      </c>
      <c r="G25" s="3">
        <f t="shared" si="0"/>
        <v>44409</v>
      </c>
      <c r="H25" s="2" t="str">
        <f>VLOOKUP(C25,Sheet2!A:B,2,FALSE)</f>
        <v>Female</v>
      </c>
      <c r="I25" s="2">
        <f t="shared" si="1"/>
        <v>75</v>
      </c>
      <c r="J25" s="2" t="s">
        <v>15</v>
      </c>
      <c r="L25" s="2">
        <f t="shared" si="2"/>
        <v>86</v>
      </c>
      <c r="M25" s="2" t="s">
        <v>16</v>
      </c>
    </row>
    <row r="26" spans="1:13" x14ac:dyDescent="0.35">
      <c r="A26" s="2">
        <v>2021</v>
      </c>
      <c r="B26" s="2">
        <v>7</v>
      </c>
      <c r="C26" s="2" t="s">
        <v>4</v>
      </c>
      <c r="D26" s="2">
        <v>84</v>
      </c>
      <c r="E26" s="2">
        <v>73</v>
      </c>
      <c r="G26" s="3">
        <f t="shared" si="0"/>
        <v>44378</v>
      </c>
      <c r="H26" s="2" t="str">
        <f>VLOOKUP(C26,Sheet2!A:B,2,FALSE)</f>
        <v>All</v>
      </c>
      <c r="I26" s="2">
        <f t="shared" si="1"/>
        <v>73</v>
      </c>
      <c r="J26" s="2" t="s">
        <v>15</v>
      </c>
      <c r="L26" s="2">
        <f t="shared" si="2"/>
        <v>84</v>
      </c>
      <c r="M26" s="2" t="s">
        <v>16</v>
      </c>
    </row>
    <row r="27" spans="1:13" x14ac:dyDescent="0.35">
      <c r="A27" s="2">
        <v>2021</v>
      </c>
      <c r="B27" s="2">
        <v>7</v>
      </c>
      <c r="C27" s="2" t="s">
        <v>5</v>
      </c>
      <c r="D27" s="2">
        <v>82</v>
      </c>
      <c r="E27" s="2">
        <v>72</v>
      </c>
      <c r="G27" s="3">
        <f t="shared" si="0"/>
        <v>44378</v>
      </c>
      <c r="H27" s="2" t="str">
        <f>VLOOKUP(C27,Sheet2!A:B,2,FALSE)</f>
        <v>Male</v>
      </c>
      <c r="I27" s="2">
        <f t="shared" si="1"/>
        <v>72</v>
      </c>
      <c r="J27" s="2" t="s">
        <v>15</v>
      </c>
      <c r="L27" s="2">
        <f t="shared" si="2"/>
        <v>82</v>
      </c>
      <c r="M27" s="2" t="s">
        <v>16</v>
      </c>
    </row>
    <row r="28" spans="1:13" x14ac:dyDescent="0.35">
      <c r="A28" s="2">
        <v>2021</v>
      </c>
      <c r="B28" s="2">
        <v>7</v>
      </c>
      <c r="C28" s="2" t="s">
        <v>6</v>
      </c>
      <c r="D28" s="2">
        <v>86</v>
      </c>
      <c r="E28" s="2">
        <v>75</v>
      </c>
      <c r="G28" s="3">
        <f t="shared" si="0"/>
        <v>44378</v>
      </c>
      <c r="H28" s="2" t="str">
        <f>VLOOKUP(C28,Sheet2!A:B,2,FALSE)</f>
        <v>Female</v>
      </c>
      <c r="I28" s="2">
        <f t="shared" si="1"/>
        <v>75</v>
      </c>
      <c r="J28" s="2" t="s">
        <v>15</v>
      </c>
      <c r="L28" s="2">
        <f t="shared" si="2"/>
        <v>86</v>
      </c>
      <c r="M28" s="2" t="s">
        <v>16</v>
      </c>
    </row>
    <row r="29" spans="1:13" x14ac:dyDescent="0.35">
      <c r="A29" s="2">
        <v>2021</v>
      </c>
      <c r="B29" s="2">
        <v>6</v>
      </c>
      <c r="C29" s="2" t="s">
        <v>4</v>
      </c>
      <c r="D29" s="2">
        <v>84</v>
      </c>
      <c r="E29" s="2">
        <v>73</v>
      </c>
      <c r="G29" s="3">
        <f t="shared" si="0"/>
        <v>44348</v>
      </c>
      <c r="H29" s="2" t="str">
        <f>VLOOKUP(C29,Sheet2!A:B,2,FALSE)</f>
        <v>All</v>
      </c>
      <c r="I29" s="2">
        <f t="shared" si="1"/>
        <v>73</v>
      </c>
      <c r="J29" s="2" t="s">
        <v>15</v>
      </c>
      <c r="L29" s="2">
        <f t="shared" si="2"/>
        <v>84</v>
      </c>
      <c r="M29" s="2" t="s">
        <v>16</v>
      </c>
    </row>
    <row r="30" spans="1:13" x14ac:dyDescent="0.35">
      <c r="A30" s="2">
        <v>2021</v>
      </c>
      <c r="B30" s="2">
        <v>6</v>
      </c>
      <c r="C30" s="2" t="s">
        <v>5</v>
      </c>
      <c r="D30" s="2">
        <v>82</v>
      </c>
      <c r="E30" s="2">
        <v>73</v>
      </c>
      <c r="G30" s="3">
        <f t="shared" si="0"/>
        <v>44348</v>
      </c>
      <c r="H30" s="2" t="str">
        <f>VLOOKUP(C30,Sheet2!A:B,2,FALSE)</f>
        <v>Male</v>
      </c>
      <c r="I30" s="2">
        <f t="shared" si="1"/>
        <v>73</v>
      </c>
      <c r="J30" s="2" t="s">
        <v>15</v>
      </c>
      <c r="L30" s="2">
        <f t="shared" si="2"/>
        <v>82</v>
      </c>
      <c r="M30" s="2" t="s">
        <v>16</v>
      </c>
    </row>
    <row r="31" spans="1:13" x14ac:dyDescent="0.35">
      <c r="A31" s="2">
        <v>2021</v>
      </c>
      <c r="B31" s="2">
        <v>6</v>
      </c>
      <c r="C31" s="2" t="s">
        <v>6</v>
      </c>
      <c r="D31" s="2">
        <v>86</v>
      </c>
      <c r="E31" s="2">
        <v>73</v>
      </c>
      <c r="G31" s="3">
        <f t="shared" si="0"/>
        <v>44348</v>
      </c>
      <c r="H31" s="2" t="str">
        <f>VLOOKUP(C31,Sheet2!A:B,2,FALSE)</f>
        <v>Female</v>
      </c>
      <c r="I31" s="2">
        <f t="shared" si="1"/>
        <v>73</v>
      </c>
      <c r="J31" s="2" t="s">
        <v>15</v>
      </c>
      <c r="L31" s="2">
        <f t="shared" si="2"/>
        <v>86</v>
      </c>
      <c r="M31" s="2" t="s">
        <v>16</v>
      </c>
    </row>
    <row r="32" spans="1:13" x14ac:dyDescent="0.35">
      <c r="A32" s="2">
        <v>2021</v>
      </c>
      <c r="B32" s="2">
        <v>5</v>
      </c>
      <c r="C32" s="2" t="s">
        <v>4</v>
      </c>
      <c r="D32" s="2">
        <v>84</v>
      </c>
      <c r="E32" s="2">
        <v>73</v>
      </c>
      <c r="G32" s="3">
        <f t="shared" si="0"/>
        <v>44317</v>
      </c>
      <c r="H32" s="2" t="str">
        <f>VLOOKUP(C32,Sheet2!A:B,2,FALSE)</f>
        <v>All</v>
      </c>
      <c r="I32" s="2">
        <f t="shared" si="1"/>
        <v>73</v>
      </c>
      <c r="J32" s="2" t="s">
        <v>15</v>
      </c>
      <c r="L32" s="2">
        <f t="shared" si="2"/>
        <v>84</v>
      </c>
      <c r="M32" s="2" t="s">
        <v>16</v>
      </c>
    </row>
    <row r="33" spans="1:13" x14ac:dyDescent="0.35">
      <c r="A33" s="2">
        <v>2021</v>
      </c>
      <c r="B33" s="2">
        <v>5</v>
      </c>
      <c r="C33" s="2" t="s">
        <v>5</v>
      </c>
      <c r="D33" s="2">
        <v>83</v>
      </c>
      <c r="E33" s="2">
        <v>71</v>
      </c>
      <c r="G33" s="3">
        <f t="shared" si="0"/>
        <v>44317</v>
      </c>
      <c r="H33" s="2" t="str">
        <f>VLOOKUP(C33,Sheet2!A:B,2,FALSE)</f>
        <v>Male</v>
      </c>
      <c r="I33" s="2">
        <f t="shared" si="1"/>
        <v>71</v>
      </c>
      <c r="J33" s="2" t="s">
        <v>15</v>
      </c>
      <c r="L33" s="2">
        <f t="shared" si="2"/>
        <v>83</v>
      </c>
      <c r="M33" s="2" t="s">
        <v>16</v>
      </c>
    </row>
    <row r="34" spans="1:13" x14ac:dyDescent="0.35">
      <c r="A34" s="2">
        <v>2021</v>
      </c>
      <c r="B34" s="2">
        <v>5</v>
      </c>
      <c r="C34" s="2" t="s">
        <v>6</v>
      </c>
      <c r="D34" s="2">
        <v>85</v>
      </c>
      <c r="E34" s="2">
        <v>76</v>
      </c>
      <c r="G34" s="3">
        <f t="shared" si="0"/>
        <v>44317</v>
      </c>
      <c r="H34" s="2" t="str">
        <f>VLOOKUP(C34,Sheet2!A:B,2,FALSE)</f>
        <v>Female</v>
      </c>
      <c r="I34" s="2">
        <f t="shared" si="1"/>
        <v>76</v>
      </c>
      <c r="J34" s="2" t="s">
        <v>15</v>
      </c>
      <c r="L34" s="2">
        <f t="shared" si="2"/>
        <v>85</v>
      </c>
      <c r="M34" s="2" t="s">
        <v>16</v>
      </c>
    </row>
    <row r="35" spans="1:13" x14ac:dyDescent="0.35">
      <c r="A35" s="2">
        <v>2021</v>
      </c>
      <c r="B35" s="2">
        <v>4</v>
      </c>
      <c r="C35" s="2" t="s">
        <v>4</v>
      </c>
      <c r="D35" s="2">
        <v>84</v>
      </c>
      <c r="E35" s="2">
        <v>75</v>
      </c>
      <c r="G35" s="3">
        <f t="shared" si="0"/>
        <v>44287</v>
      </c>
      <c r="H35" s="2" t="str">
        <f>VLOOKUP(C35,Sheet2!A:B,2,FALSE)</f>
        <v>All</v>
      </c>
      <c r="I35" s="2">
        <f t="shared" si="1"/>
        <v>75</v>
      </c>
      <c r="J35" s="2" t="s">
        <v>15</v>
      </c>
      <c r="L35" s="2">
        <f t="shared" si="2"/>
        <v>84</v>
      </c>
      <c r="M35" s="2" t="s">
        <v>16</v>
      </c>
    </row>
    <row r="36" spans="1:13" x14ac:dyDescent="0.35">
      <c r="A36" s="2">
        <v>2021</v>
      </c>
      <c r="B36" s="2">
        <v>4</v>
      </c>
      <c r="C36" s="2" t="s">
        <v>5</v>
      </c>
      <c r="D36" s="2">
        <v>82</v>
      </c>
      <c r="E36" s="2">
        <v>73</v>
      </c>
      <c r="G36" s="3">
        <f t="shared" si="0"/>
        <v>44287</v>
      </c>
      <c r="H36" s="2" t="str">
        <f>VLOOKUP(C36,Sheet2!A:B,2,FALSE)</f>
        <v>Male</v>
      </c>
      <c r="I36" s="2">
        <f t="shared" si="1"/>
        <v>73</v>
      </c>
      <c r="J36" s="2" t="s">
        <v>15</v>
      </c>
      <c r="L36" s="2">
        <f t="shared" si="2"/>
        <v>82</v>
      </c>
      <c r="M36" s="2" t="s">
        <v>16</v>
      </c>
    </row>
    <row r="37" spans="1:13" x14ac:dyDescent="0.35">
      <c r="A37" s="2">
        <v>2021</v>
      </c>
      <c r="B37" s="2">
        <v>4</v>
      </c>
      <c r="C37" s="2" t="s">
        <v>6</v>
      </c>
      <c r="D37" s="2">
        <v>85</v>
      </c>
      <c r="E37" s="2">
        <v>77</v>
      </c>
      <c r="G37" s="3">
        <f t="shared" si="0"/>
        <v>44287</v>
      </c>
      <c r="H37" s="2" t="str">
        <f>VLOOKUP(C37,Sheet2!A:B,2,FALSE)</f>
        <v>Female</v>
      </c>
      <c r="I37" s="2">
        <f t="shared" si="1"/>
        <v>77</v>
      </c>
      <c r="J37" s="2" t="s">
        <v>15</v>
      </c>
      <c r="L37" s="2">
        <f t="shared" si="2"/>
        <v>85</v>
      </c>
      <c r="M37" s="2" t="s">
        <v>16</v>
      </c>
    </row>
    <row r="38" spans="1:13" x14ac:dyDescent="0.35">
      <c r="A38" s="2">
        <v>2021</v>
      </c>
      <c r="B38" s="2">
        <v>3</v>
      </c>
      <c r="C38" s="2" t="s">
        <v>4</v>
      </c>
      <c r="D38" s="2">
        <v>83</v>
      </c>
      <c r="E38" s="2">
        <v>77</v>
      </c>
      <c r="G38" s="3">
        <f t="shared" si="0"/>
        <v>44256</v>
      </c>
      <c r="H38" s="2" t="str">
        <f>VLOOKUP(C38,Sheet2!A:B,2,FALSE)</f>
        <v>All</v>
      </c>
      <c r="I38" s="2">
        <f t="shared" si="1"/>
        <v>77</v>
      </c>
      <c r="J38" s="2" t="s">
        <v>15</v>
      </c>
      <c r="L38" s="2">
        <f t="shared" si="2"/>
        <v>83</v>
      </c>
      <c r="M38" s="2" t="s">
        <v>16</v>
      </c>
    </row>
    <row r="39" spans="1:13" x14ac:dyDescent="0.35">
      <c r="A39" s="2">
        <v>2021</v>
      </c>
      <c r="B39" s="2">
        <v>3</v>
      </c>
      <c r="C39" s="2" t="s">
        <v>5</v>
      </c>
      <c r="D39" s="2">
        <v>82</v>
      </c>
      <c r="E39" s="2">
        <v>75</v>
      </c>
      <c r="G39" s="3">
        <f t="shared" si="0"/>
        <v>44256</v>
      </c>
      <c r="H39" s="2" t="str">
        <f>VLOOKUP(C39,Sheet2!A:B,2,FALSE)</f>
        <v>Male</v>
      </c>
      <c r="I39" s="2">
        <f t="shared" si="1"/>
        <v>75</v>
      </c>
      <c r="J39" s="2" t="s">
        <v>15</v>
      </c>
      <c r="L39" s="2">
        <f t="shared" si="2"/>
        <v>82</v>
      </c>
      <c r="M39" s="2" t="s">
        <v>16</v>
      </c>
    </row>
    <row r="40" spans="1:13" x14ac:dyDescent="0.35">
      <c r="A40" s="2">
        <v>2021</v>
      </c>
      <c r="B40" s="2">
        <v>3</v>
      </c>
      <c r="C40" s="2" t="s">
        <v>6</v>
      </c>
      <c r="D40" s="2">
        <v>85</v>
      </c>
      <c r="E40" s="2">
        <v>79</v>
      </c>
      <c r="G40" s="3">
        <f t="shared" si="0"/>
        <v>44256</v>
      </c>
      <c r="H40" s="2" t="str">
        <f>VLOOKUP(C40,Sheet2!A:B,2,FALSE)</f>
        <v>Female</v>
      </c>
      <c r="I40" s="2">
        <f t="shared" si="1"/>
        <v>79</v>
      </c>
      <c r="J40" s="2" t="s">
        <v>15</v>
      </c>
      <c r="L40" s="2">
        <f t="shared" si="2"/>
        <v>85</v>
      </c>
      <c r="M40" s="2" t="s">
        <v>16</v>
      </c>
    </row>
    <row r="41" spans="1:13" x14ac:dyDescent="0.35">
      <c r="A41" s="2">
        <v>2021</v>
      </c>
      <c r="B41" s="2">
        <v>2</v>
      </c>
      <c r="C41" s="2" t="s">
        <v>4</v>
      </c>
      <c r="D41" s="2">
        <v>84</v>
      </c>
      <c r="E41" s="2">
        <v>79</v>
      </c>
      <c r="G41" s="3">
        <f t="shared" si="0"/>
        <v>44228</v>
      </c>
      <c r="H41" s="2" t="str">
        <f>VLOOKUP(C41,Sheet2!A:B,2,FALSE)</f>
        <v>All</v>
      </c>
      <c r="I41" s="2">
        <f t="shared" si="1"/>
        <v>79</v>
      </c>
      <c r="J41" s="2" t="s">
        <v>15</v>
      </c>
      <c r="L41" s="2">
        <f t="shared" si="2"/>
        <v>84</v>
      </c>
      <c r="M41" s="2" t="s">
        <v>16</v>
      </c>
    </row>
    <row r="42" spans="1:13" x14ac:dyDescent="0.35">
      <c r="A42" s="2">
        <v>2021</v>
      </c>
      <c r="B42" s="2">
        <v>2</v>
      </c>
      <c r="C42" s="2" t="s">
        <v>5</v>
      </c>
      <c r="D42" s="2">
        <v>83</v>
      </c>
      <c r="E42" s="2">
        <v>77</v>
      </c>
      <c r="G42" s="3">
        <f t="shared" si="0"/>
        <v>44228</v>
      </c>
      <c r="H42" s="2" t="str">
        <f>VLOOKUP(C42,Sheet2!A:B,2,FALSE)</f>
        <v>Male</v>
      </c>
      <c r="I42" s="2">
        <f t="shared" si="1"/>
        <v>77</v>
      </c>
      <c r="J42" s="2" t="s">
        <v>15</v>
      </c>
      <c r="L42" s="2">
        <f t="shared" si="2"/>
        <v>83</v>
      </c>
      <c r="M42" s="2" t="s">
        <v>16</v>
      </c>
    </row>
    <row r="43" spans="1:13" x14ac:dyDescent="0.35">
      <c r="A43" s="2">
        <v>2021</v>
      </c>
      <c r="B43" s="2">
        <v>2</v>
      </c>
      <c r="C43" s="2" t="s">
        <v>6</v>
      </c>
      <c r="D43" s="2">
        <v>85</v>
      </c>
      <c r="E43" s="2">
        <v>82</v>
      </c>
      <c r="G43" s="3">
        <f t="shared" si="0"/>
        <v>44228</v>
      </c>
      <c r="H43" s="2" t="str">
        <f>VLOOKUP(C43,Sheet2!A:B,2,FALSE)</f>
        <v>Female</v>
      </c>
      <c r="I43" s="2">
        <f t="shared" si="1"/>
        <v>82</v>
      </c>
      <c r="J43" s="2" t="s">
        <v>15</v>
      </c>
      <c r="L43" s="2">
        <f t="shared" si="2"/>
        <v>85</v>
      </c>
      <c r="M43" s="2" t="s">
        <v>16</v>
      </c>
    </row>
    <row r="44" spans="1:13" x14ac:dyDescent="0.35">
      <c r="A44" s="2">
        <v>2021</v>
      </c>
      <c r="B44" s="2">
        <v>1</v>
      </c>
      <c r="C44" s="2" t="s">
        <v>4</v>
      </c>
      <c r="D44" s="2">
        <v>84</v>
      </c>
      <c r="E44" s="2">
        <v>80</v>
      </c>
      <c r="G44" s="3">
        <f t="shared" si="0"/>
        <v>44197</v>
      </c>
      <c r="H44" s="2" t="str">
        <f>VLOOKUP(C44,Sheet2!A:B,2,FALSE)</f>
        <v>All</v>
      </c>
      <c r="I44" s="2">
        <f t="shared" si="1"/>
        <v>80</v>
      </c>
      <c r="J44" s="2" t="s">
        <v>15</v>
      </c>
      <c r="L44" s="2">
        <f t="shared" si="2"/>
        <v>84</v>
      </c>
      <c r="M44" s="2" t="s">
        <v>16</v>
      </c>
    </row>
    <row r="45" spans="1:13" x14ac:dyDescent="0.35">
      <c r="A45" s="2">
        <v>2021</v>
      </c>
      <c r="B45" s="2">
        <v>1</v>
      </c>
      <c r="C45" s="2" t="s">
        <v>5</v>
      </c>
      <c r="D45" s="2">
        <v>82</v>
      </c>
      <c r="E45" s="2">
        <v>79</v>
      </c>
      <c r="G45" s="3">
        <f t="shared" si="0"/>
        <v>44197</v>
      </c>
      <c r="H45" s="2" t="str">
        <f>VLOOKUP(C45,Sheet2!A:B,2,FALSE)</f>
        <v>Male</v>
      </c>
      <c r="I45" s="2">
        <f t="shared" si="1"/>
        <v>79</v>
      </c>
      <c r="J45" s="2" t="s">
        <v>15</v>
      </c>
      <c r="L45" s="2">
        <f t="shared" si="2"/>
        <v>82</v>
      </c>
      <c r="M45" s="2" t="s">
        <v>16</v>
      </c>
    </row>
    <row r="46" spans="1:13" x14ac:dyDescent="0.35">
      <c r="A46" s="2">
        <v>2021</v>
      </c>
      <c r="B46" s="2">
        <v>1</v>
      </c>
      <c r="C46" s="2" t="s">
        <v>6</v>
      </c>
      <c r="D46" s="2">
        <v>86</v>
      </c>
      <c r="E46" s="2">
        <v>82</v>
      </c>
      <c r="G46" s="3">
        <f t="shared" si="0"/>
        <v>44197</v>
      </c>
      <c r="H46" s="2" t="str">
        <f>VLOOKUP(C46,Sheet2!A:B,2,FALSE)</f>
        <v>Female</v>
      </c>
      <c r="I46" s="2">
        <f t="shared" si="1"/>
        <v>82</v>
      </c>
      <c r="J46" s="2" t="s">
        <v>15</v>
      </c>
      <c r="L46" s="2">
        <f t="shared" si="2"/>
        <v>86</v>
      </c>
      <c r="M46" s="2" t="s">
        <v>16</v>
      </c>
    </row>
    <row r="47" spans="1:13" x14ac:dyDescent="0.35">
      <c r="A47" s="2">
        <v>2020</v>
      </c>
      <c r="B47" s="2">
        <v>12</v>
      </c>
      <c r="C47" s="2" t="s">
        <v>4</v>
      </c>
      <c r="D47" s="2">
        <v>84</v>
      </c>
      <c r="E47" s="2">
        <v>81</v>
      </c>
      <c r="G47" s="3">
        <f t="shared" si="0"/>
        <v>44166</v>
      </c>
      <c r="H47" s="2" t="str">
        <f>VLOOKUP(C47,Sheet2!A:B,2,FALSE)</f>
        <v>All</v>
      </c>
      <c r="I47" s="2">
        <f t="shared" si="1"/>
        <v>81</v>
      </c>
      <c r="J47" s="2" t="s">
        <v>15</v>
      </c>
      <c r="L47" s="2">
        <f t="shared" si="2"/>
        <v>84</v>
      </c>
      <c r="M47" s="2" t="s">
        <v>16</v>
      </c>
    </row>
    <row r="48" spans="1:13" x14ac:dyDescent="0.35">
      <c r="A48" s="2">
        <v>2020</v>
      </c>
      <c r="B48" s="2">
        <v>12</v>
      </c>
      <c r="C48" s="2" t="s">
        <v>5</v>
      </c>
      <c r="D48" s="2">
        <v>82</v>
      </c>
      <c r="E48" s="2">
        <v>80</v>
      </c>
      <c r="G48" s="3">
        <f t="shared" si="0"/>
        <v>44166</v>
      </c>
      <c r="H48" s="2" t="str">
        <f>VLOOKUP(C48,Sheet2!A:B,2,FALSE)</f>
        <v>Male</v>
      </c>
      <c r="I48" s="2">
        <f t="shared" si="1"/>
        <v>80</v>
      </c>
      <c r="J48" s="2" t="s">
        <v>15</v>
      </c>
      <c r="L48" s="2">
        <f t="shared" si="2"/>
        <v>82</v>
      </c>
      <c r="M48" s="2" t="s">
        <v>16</v>
      </c>
    </row>
    <row r="49" spans="1:13" x14ac:dyDescent="0.35">
      <c r="A49" s="2">
        <v>2020</v>
      </c>
      <c r="B49" s="2">
        <v>12</v>
      </c>
      <c r="C49" s="2" t="s">
        <v>6</v>
      </c>
      <c r="D49" s="2">
        <v>86</v>
      </c>
      <c r="E49" s="2">
        <v>83</v>
      </c>
      <c r="G49" s="3">
        <f t="shared" si="0"/>
        <v>44166</v>
      </c>
      <c r="H49" s="2" t="str">
        <f>VLOOKUP(C49,Sheet2!A:B,2,FALSE)</f>
        <v>Female</v>
      </c>
      <c r="I49" s="2">
        <f t="shared" si="1"/>
        <v>83</v>
      </c>
      <c r="J49" s="2" t="s">
        <v>15</v>
      </c>
      <c r="L49" s="2">
        <f t="shared" si="2"/>
        <v>86</v>
      </c>
      <c r="M49" s="2" t="s">
        <v>16</v>
      </c>
    </row>
    <row r="50" spans="1:13" x14ac:dyDescent="0.35">
      <c r="A50" s="2">
        <v>2020</v>
      </c>
      <c r="B50" s="2">
        <v>11</v>
      </c>
      <c r="C50" s="2" t="s">
        <v>4</v>
      </c>
      <c r="D50" s="2">
        <v>83</v>
      </c>
      <c r="E50" s="2">
        <v>81</v>
      </c>
      <c r="G50" s="3">
        <f t="shared" si="0"/>
        <v>44136</v>
      </c>
      <c r="H50" s="2" t="str">
        <f>VLOOKUP(C50,Sheet2!A:B,2,FALSE)</f>
        <v>All</v>
      </c>
      <c r="I50" s="2">
        <f t="shared" si="1"/>
        <v>81</v>
      </c>
      <c r="J50" s="2" t="s">
        <v>15</v>
      </c>
      <c r="L50" s="2">
        <f t="shared" si="2"/>
        <v>83</v>
      </c>
      <c r="M50" s="2" t="s">
        <v>16</v>
      </c>
    </row>
    <row r="51" spans="1:13" x14ac:dyDescent="0.35">
      <c r="A51" s="2">
        <v>2020</v>
      </c>
      <c r="B51" s="2">
        <v>11</v>
      </c>
      <c r="C51" s="2" t="s">
        <v>5</v>
      </c>
      <c r="D51" s="2">
        <v>81</v>
      </c>
      <c r="E51" s="2">
        <v>79</v>
      </c>
      <c r="G51" s="3">
        <f t="shared" si="0"/>
        <v>44136</v>
      </c>
      <c r="H51" s="2" t="str">
        <f>VLOOKUP(C51,Sheet2!A:B,2,FALSE)</f>
        <v>Male</v>
      </c>
      <c r="I51" s="2">
        <f t="shared" si="1"/>
        <v>79</v>
      </c>
      <c r="J51" s="2" t="s">
        <v>15</v>
      </c>
      <c r="L51" s="2">
        <f t="shared" si="2"/>
        <v>81</v>
      </c>
      <c r="M51" s="2" t="s">
        <v>16</v>
      </c>
    </row>
    <row r="52" spans="1:13" x14ac:dyDescent="0.35">
      <c r="A52" s="2">
        <v>2020</v>
      </c>
      <c r="B52" s="2">
        <v>11</v>
      </c>
      <c r="C52" s="2" t="s">
        <v>6</v>
      </c>
      <c r="D52" s="2">
        <v>85</v>
      </c>
      <c r="E52" s="2">
        <v>82</v>
      </c>
      <c r="G52" s="3">
        <f t="shared" si="0"/>
        <v>44136</v>
      </c>
      <c r="H52" s="2" t="str">
        <f>VLOOKUP(C52,Sheet2!A:B,2,FALSE)</f>
        <v>Female</v>
      </c>
      <c r="I52" s="2">
        <f t="shared" si="1"/>
        <v>82</v>
      </c>
      <c r="J52" s="2" t="s">
        <v>15</v>
      </c>
      <c r="L52" s="2">
        <f t="shared" si="2"/>
        <v>85</v>
      </c>
      <c r="M52" s="2" t="s">
        <v>16</v>
      </c>
    </row>
    <row r="53" spans="1:13" x14ac:dyDescent="0.35">
      <c r="A53" s="2">
        <v>2020</v>
      </c>
      <c r="B53" s="2">
        <v>10</v>
      </c>
      <c r="C53" s="2" t="s">
        <v>4</v>
      </c>
      <c r="D53" s="2">
        <v>84</v>
      </c>
      <c r="E53" s="2">
        <v>80</v>
      </c>
      <c r="G53" s="3">
        <f t="shared" si="0"/>
        <v>44105</v>
      </c>
      <c r="H53" s="2" t="str">
        <f>VLOOKUP(C53,Sheet2!A:B,2,FALSE)</f>
        <v>All</v>
      </c>
      <c r="I53" s="2">
        <f t="shared" si="1"/>
        <v>80</v>
      </c>
      <c r="J53" s="2" t="s">
        <v>15</v>
      </c>
      <c r="L53" s="2">
        <f t="shared" si="2"/>
        <v>84</v>
      </c>
      <c r="M53" s="2" t="s">
        <v>16</v>
      </c>
    </row>
    <row r="54" spans="1:13" x14ac:dyDescent="0.35">
      <c r="A54" s="2">
        <v>2020</v>
      </c>
      <c r="B54" s="2">
        <v>10</v>
      </c>
      <c r="C54" s="2" t="s">
        <v>5</v>
      </c>
      <c r="D54" s="2">
        <v>82</v>
      </c>
      <c r="E54" s="2">
        <v>78</v>
      </c>
      <c r="G54" s="3">
        <f t="shared" si="0"/>
        <v>44105</v>
      </c>
      <c r="H54" s="2" t="str">
        <f>VLOOKUP(C54,Sheet2!A:B,2,FALSE)</f>
        <v>Male</v>
      </c>
      <c r="I54" s="2">
        <f t="shared" si="1"/>
        <v>78</v>
      </c>
      <c r="J54" s="2" t="s">
        <v>15</v>
      </c>
      <c r="L54" s="2">
        <f t="shared" si="2"/>
        <v>82</v>
      </c>
      <c r="M54" s="2" t="s">
        <v>16</v>
      </c>
    </row>
    <row r="55" spans="1:13" x14ac:dyDescent="0.35">
      <c r="A55" s="2">
        <v>2020</v>
      </c>
      <c r="B55" s="2">
        <v>10</v>
      </c>
      <c r="C55" s="2" t="s">
        <v>6</v>
      </c>
      <c r="D55" s="2">
        <v>86</v>
      </c>
      <c r="E55" s="2">
        <v>82</v>
      </c>
      <c r="G55" s="3">
        <f t="shared" si="0"/>
        <v>44105</v>
      </c>
      <c r="H55" s="2" t="str">
        <f>VLOOKUP(C55,Sheet2!A:B,2,FALSE)</f>
        <v>Female</v>
      </c>
      <c r="I55" s="2">
        <f t="shared" si="1"/>
        <v>82</v>
      </c>
      <c r="J55" s="2" t="s">
        <v>15</v>
      </c>
      <c r="L55" s="2">
        <f t="shared" si="2"/>
        <v>86</v>
      </c>
      <c r="M55" s="2" t="s">
        <v>16</v>
      </c>
    </row>
    <row r="56" spans="1:13" x14ac:dyDescent="0.35">
      <c r="A56" s="2">
        <v>2020</v>
      </c>
      <c r="B56" s="2">
        <v>9</v>
      </c>
      <c r="C56" s="2" t="s">
        <v>4</v>
      </c>
      <c r="D56" s="2">
        <v>84</v>
      </c>
      <c r="E56" s="2">
        <v>79</v>
      </c>
      <c r="G56" s="3">
        <f t="shared" si="0"/>
        <v>44075</v>
      </c>
      <c r="H56" s="2" t="str">
        <f>VLOOKUP(C56,Sheet2!A:B,2,FALSE)</f>
        <v>All</v>
      </c>
      <c r="I56" s="2">
        <f t="shared" si="1"/>
        <v>79</v>
      </c>
      <c r="J56" s="2" t="s">
        <v>15</v>
      </c>
      <c r="L56" s="2">
        <f t="shared" si="2"/>
        <v>84</v>
      </c>
      <c r="M56" s="2" t="s">
        <v>16</v>
      </c>
    </row>
    <row r="57" spans="1:13" x14ac:dyDescent="0.35">
      <c r="A57" s="2">
        <v>2020</v>
      </c>
      <c r="B57" s="2">
        <v>9</v>
      </c>
      <c r="C57" s="2" t="s">
        <v>5</v>
      </c>
      <c r="D57" s="2">
        <v>82</v>
      </c>
      <c r="E57" s="2">
        <v>78</v>
      </c>
      <c r="G57" s="3">
        <f t="shared" si="0"/>
        <v>44075</v>
      </c>
      <c r="H57" s="2" t="str">
        <f>VLOOKUP(C57,Sheet2!A:B,2,FALSE)</f>
        <v>Male</v>
      </c>
      <c r="I57" s="2">
        <f t="shared" si="1"/>
        <v>78</v>
      </c>
      <c r="J57" s="2" t="s">
        <v>15</v>
      </c>
      <c r="L57" s="2">
        <f t="shared" si="2"/>
        <v>82</v>
      </c>
      <c r="M57" s="2" t="s">
        <v>16</v>
      </c>
    </row>
    <row r="58" spans="1:13" x14ac:dyDescent="0.35">
      <c r="A58" s="2">
        <v>2020</v>
      </c>
      <c r="B58" s="2">
        <v>9</v>
      </c>
      <c r="C58" s="2" t="s">
        <v>6</v>
      </c>
      <c r="D58" s="2">
        <v>86</v>
      </c>
      <c r="E58" s="2">
        <v>81</v>
      </c>
      <c r="G58" s="3">
        <f t="shared" si="0"/>
        <v>44075</v>
      </c>
      <c r="H58" s="2" t="str">
        <f>VLOOKUP(C58,Sheet2!A:B,2,FALSE)</f>
        <v>Female</v>
      </c>
      <c r="I58" s="2">
        <f t="shared" si="1"/>
        <v>81</v>
      </c>
      <c r="J58" s="2" t="s">
        <v>15</v>
      </c>
      <c r="L58" s="2">
        <f t="shared" si="2"/>
        <v>86</v>
      </c>
      <c r="M58" s="2" t="s">
        <v>16</v>
      </c>
    </row>
    <row r="59" spans="1:13" x14ac:dyDescent="0.35">
      <c r="A59" s="2">
        <v>2020</v>
      </c>
      <c r="B59" s="2">
        <v>8</v>
      </c>
      <c r="C59" s="2" t="s">
        <v>4</v>
      </c>
      <c r="D59" s="2">
        <v>83</v>
      </c>
      <c r="E59" s="2">
        <v>79</v>
      </c>
      <c r="G59" s="3">
        <f t="shared" si="0"/>
        <v>44044</v>
      </c>
      <c r="H59" s="2" t="str">
        <f>VLOOKUP(C59,Sheet2!A:B,2,FALSE)</f>
        <v>All</v>
      </c>
      <c r="I59" s="2">
        <f t="shared" si="1"/>
        <v>79</v>
      </c>
      <c r="J59" s="2" t="s">
        <v>15</v>
      </c>
      <c r="L59" s="2">
        <f t="shared" si="2"/>
        <v>83</v>
      </c>
      <c r="M59" s="2" t="s">
        <v>16</v>
      </c>
    </row>
    <row r="60" spans="1:13" x14ac:dyDescent="0.35">
      <c r="A60" s="2">
        <v>2020</v>
      </c>
      <c r="B60" s="2">
        <v>8</v>
      </c>
      <c r="C60" s="2" t="s">
        <v>5</v>
      </c>
      <c r="D60" s="2">
        <v>82</v>
      </c>
      <c r="E60" s="2">
        <v>77</v>
      </c>
      <c r="G60" s="3">
        <f t="shared" si="0"/>
        <v>44044</v>
      </c>
      <c r="H60" s="2" t="str">
        <f>VLOOKUP(C60,Sheet2!A:B,2,FALSE)</f>
        <v>Male</v>
      </c>
      <c r="I60" s="2">
        <f t="shared" si="1"/>
        <v>77</v>
      </c>
      <c r="J60" s="2" t="s">
        <v>15</v>
      </c>
      <c r="L60" s="2">
        <f t="shared" si="2"/>
        <v>82</v>
      </c>
      <c r="M60" s="2" t="s">
        <v>16</v>
      </c>
    </row>
    <row r="61" spans="1:13" x14ac:dyDescent="0.35">
      <c r="A61" s="2">
        <v>2020</v>
      </c>
      <c r="B61" s="2">
        <v>8</v>
      </c>
      <c r="C61" s="2" t="s">
        <v>6</v>
      </c>
      <c r="D61" s="2">
        <v>85</v>
      </c>
      <c r="E61" s="2">
        <v>81</v>
      </c>
      <c r="G61" s="3">
        <f t="shared" si="0"/>
        <v>44044</v>
      </c>
      <c r="H61" s="2" t="str">
        <f>VLOOKUP(C61,Sheet2!A:B,2,FALSE)</f>
        <v>Female</v>
      </c>
      <c r="I61" s="2">
        <f t="shared" si="1"/>
        <v>81</v>
      </c>
      <c r="J61" s="2" t="s">
        <v>15</v>
      </c>
      <c r="L61" s="2">
        <f t="shared" si="2"/>
        <v>85</v>
      </c>
      <c r="M61" s="2" t="s">
        <v>16</v>
      </c>
    </row>
    <row r="62" spans="1:13" x14ac:dyDescent="0.35">
      <c r="A62" s="2">
        <v>2020</v>
      </c>
      <c r="B62" s="2">
        <v>7</v>
      </c>
      <c r="C62" s="2" t="s">
        <v>4</v>
      </c>
      <c r="D62" s="2">
        <v>83</v>
      </c>
      <c r="E62" s="2">
        <v>80</v>
      </c>
      <c r="G62" s="3">
        <f t="shared" si="0"/>
        <v>44013</v>
      </c>
      <c r="H62" s="2" t="str">
        <f>VLOOKUP(C62,Sheet2!A:B,2,FALSE)</f>
        <v>All</v>
      </c>
      <c r="I62" s="2">
        <f t="shared" si="1"/>
        <v>80</v>
      </c>
      <c r="J62" s="2" t="s">
        <v>15</v>
      </c>
      <c r="L62" s="2">
        <f t="shared" si="2"/>
        <v>83</v>
      </c>
      <c r="M62" s="2" t="s">
        <v>16</v>
      </c>
    </row>
    <row r="63" spans="1:13" x14ac:dyDescent="0.35">
      <c r="A63" s="2">
        <v>2020</v>
      </c>
      <c r="B63" s="2">
        <v>7</v>
      </c>
      <c r="C63" s="2" t="s">
        <v>5</v>
      </c>
      <c r="D63" s="2">
        <v>82</v>
      </c>
      <c r="E63" s="2">
        <v>79</v>
      </c>
      <c r="G63" s="3">
        <f t="shared" si="0"/>
        <v>44013</v>
      </c>
      <c r="H63" s="2" t="str">
        <f>VLOOKUP(C63,Sheet2!A:B,2,FALSE)</f>
        <v>Male</v>
      </c>
      <c r="I63" s="2">
        <f t="shared" si="1"/>
        <v>79</v>
      </c>
      <c r="J63" s="2" t="s">
        <v>15</v>
      </c>
      <c r="L63" s="2">
        <f t="shared" si="2"/>
        <v>82</v>
      </c>
      <c r="M63" s="2" t="s">
        <v>16</v>
      </c>
    </row>
    <row r="64" spans="1:13" x14ac:dyDescent="0.35">
      <c r="A64" s="2">
        <v>2020</v>
      </c>
      <c r="B64" s="2">
        <v>7</v>
      </c>
      <c r="C64" s="2" t="s">
        <v>6</v>
      </c>
      <c r="D64" s="2">
        <v>85</v>
      </c>
      <c r="E64" s="2">
        <v>83</v>
      </c>
      <c r="G64" s="3">
        <f t="shared" si="0"/>
        <v>44013</v>
      </c>
      <c r="H64" s="2" t="str">
        <f>VLOOKUP(C64,Sheet2!A:B,2,FALSE)</f>
        <v>Female</v>
      </c>
      <c r="I64" s="2">
        <f t="shared" si="1"/>
        <v>83</v>
      </c>
      <c r="J64" s="2" t="s">
        <v>15</v>
      </c>
      <c r="L64" s="2">
        <f t="shared" si="2"/>
        <v>85</v>
      </c>
      <c r="M64" s="2" t="s">
        <v>16</v>
      </c>
    </row>
    <row r="65" spans="1:13" x14ac:dyDescent="0.35">
      <c r="A65" s="2">
        <v>2020</v>
      </c>
      <c r="B65" s="2">
        <v>6</v>
      </c>
      <c r="C65" s="2" t="s">
        <v>4</v>
      </c>
      <c r="D65" s="1">
        <v>83</v>
      </c>
      <c r="E65" s="2">
        <v>82</v>
      </c>
      <c r="G65" s="3">
        <f t="shared" si="0"/>
        <v>43983</v>
      </c>
      <c r="H65" s="2" t="str">
        <f>VLOOKUP(C65,Sheet2!A:B,2,FALSE)</f>
        <v>All</v>
      </c>
      <c r="I65" s="2">
        <f t="shared" si="1"/>
        <v>82</v>
      </c>
      <c r="J65" s="2" t="s">
        <v>15</v>
      </c>
      <c r="L65" s="2">
        <f t="shared" si="2"/>
        <v>83</v>
      </c>
      <c r="M65" s="2" t="s">
        <v>16</v>
      </c>
    </row>
    <row r="66" spans="1:13" x14ac:dyDescent="0.35">
      <c r="A66" s="2">
        <v>2020</v>
      </c>
      <c r="B66" s="2">
        <v>6</v>
      </c>
      <c r="C66" s="2" t="s">
        <v>5</v>
      </c>
      <c r="D66" s="2">
        <v>81</v>
      </c>
      <c r="E66" s="2">
        <v>80</v>
      </c>
      <c r="G66" s="3">
        <f t="shared" si="0"/>
        <v>43983</v>
      </c>
      <c r="H66" s="2" t="str">
        <f>VLOOKUP(C66,Sheet2!A:B,2,FALSE)</f>
        <v>Male</v>
      </c>
      <c r="I66" s="2">
        <f t="shared" si="1"/>
        <v>80</v>
      </c>
      <c r="J66" s="2" t="s">
        <v>15</v>
      </c>
      <c r="L66" s="2">
        <f t="shared" si="2"/>
        <v>81</v>
      </c>
      <c r="M66" s="2" t="s">
        <v>16</v>
      </c>
    </row>
    <row r="67" spans="1:13" x14ac:dyDescent="0.35">
      <c r="A67" s="2">
        <v>2020</v>
      </c>
      <c r="B67" s="2">
        <v>6</v>
      </c>
      <c r="C67" s="2" t="s">
        <v>6</v>
      </c>
      <c r="D67" s="2">
        <v>85</v>
      </c>
      <c r="E67" s="2">
        <v>84</v>
      </c>
      <c r="G67" s="3">
        <f t="shared" ref="G67:G76" si="3">DATE(A67,B67,1)</f>
        <v>43983</v>
      </c>
      <c r="H67" s="2" t="str">
        <f>VLOOKUP(C67,Sheet2!A:B,2,FALSE)</f>
        <v>Female</v>
      </c>
      <c r="I67" s="2">
        <f t="shared" ref="I67:I76" si="4">E67</f>
        <v>84</v>
      </c>
      <c r="J67" s="2" t="s">
        <v>15</v>
      </c>
      <c r="L67" s="2">
        <f t="shared" ref="L67:L76" si="5">D67</f>
        <v>85</v>
      </c>
      <c r="M67" s="2" t="s">
        <v>16</v>
      </c>
    </row>
    <row r="68" spans="1:13" x14ac:dyDescent="0.35">
      <c r="A68" s="2">
        <v>2020</v>
      </c>
      <c r="B68" s="2">
        <v>5</v>
      </c>
      <c r="C68" s="2" t="s">
        <v>4</v>
      </c>
      <c r="D68" s="2">
        <v>83</v>
      </c>
      <c r="E68" s="2">
        <v>82</v>
      </c>
      <c r="G68" s="3">
        <f t="shared" si="3"/>
        <v>43952</v>
      </c>
      <c r="H68" s="2" t="str">
        <f>VLOOKUP(C68,Sheet2!A:B,2,FALSE)</f>
        <v>All</v>
      </c>
      <c r="I68" s="2">
        <f t="shared" si="4"/>
        <v>82</v>
      </c>
      <c r="J68" s="2" t="s">
        <v>15</v>
      </c>
      <c r="L68" s="2">
        <f t="shared" si="5"/>
        <v>83</v>
      </c>
      <c r="M68" s="2" t="s">
        <v>16</v>
      </c>
    </row>
    <row r="69" spans="1:13" x14ac:dyDescent="0.35">
      <c r="A69" s="2">
        <v>2020</v>
      </c>
      <c r="B69" s="2">
        <v>5</v>
      </c>
      <c r="C69" s="2" t="s">
        <v>5</v>
      </c>
      <c r="D69" s="2">
        <v>81</v>
      </c>
      <c r="E69" s="2">
        <v>80</v>
      </c>
      <c r="G69" s="3">
        <f t="shared" si="3"/>
        <v>43952</v>
      </c>
      <c r="H69" s="2" t="str">
        <f>VLOOKUP(C69,Sheet2!A:B,2,FALSE)</f>
        <v>Male</v>
      </c>
      <c r="I69" s="2">
        <f t="shared" si="4"/>
        <v>80</v>
      </c>
      <c r="J69" s="2" t="s">
        <v>15</v>
      </c>
      <c r="L69" s="2">
        <f t="shared" si="5"/>
        <v>81</v>
      </c>
      <c r="M69" s="2" t="s">
        <v>16</v>
      </c>
    </row>
    <row r="70" spans="1:13" x14ac:dyDescent="0.35">
      <c r="A70" s="2">
        <v>2020</v>
      </c>
      <c r="B70" s="2">
        <v>5</v>
      </c>
      <c r="C70" s="2" t="s">
        <v>6</v>
      </c>
      <c r="D70" s="2">
        <v>84</v>
      </c>
      <c r="E70" s="2">
        <v>84</v>
      </c>
      <c r="G70" s="3">
        <f t="shared" si="3"/>
        <v>43952</v>
      </c>
      <c r="H70" s="2" t="str">
        <f>VLOOKUP(C70,Sheet2!A:B,2,FALSE)</f>
        <v>Female</v>
      </c>
      <c r="I70" s="2">
        <f t="shared" si="4"/>
        <v>84</v>
      </c>
      <c r="J70" s="2" t="s">
        <v>15</v>
      </c>
      <c r="L70" s="2">
        <f t="shared" si="5"/>
        <v>84</v>
      </c>
      <c r="M70" s="2" t="s">
        <v>16</v>
      </c>
    </row>
    <row r="71" spans="1:13" x14ac:dyDescent="0.35">
      <c r="A71" s="2">
        <v>2020</v>
      </c>
      <c r="B71" s="2">
        <v>4</v>
      </c>
      <c r="C71" s="2" t="s">
        <v>4</v>
      </c>
      <c r="D71" s="2">
        <v>83</v>
      </c>
      <c r="E71" s="2">
        <v>80</v>
      </c>
      <c r="G71" s="3">
        <f t="shared" si="3"/>
        <v>43922</v>
      </c>
      <c r="H71" s="2" t="str">
        <f>VLOOKUP(C71,Sheet2!A:B,2,FALSE)</f>
        <v>All</v>
      </c>
      <c r="I71" s="2">
        <f t="shared" si="4"/>
        <v>80</v>
      </c>
      <c r="J71" s="2" t="s">
        <v>15</v>
      </c>
      <c r="L71" s="2">
        <f t="shared" si="5"/>
        <v>83</v>
      </c>
      <c r="M71" s="2" t="s">
        <v>16</v>
      </c>
    </row>
    <row r="72" spans="1:13" x14ac:dyDescent="0.35">
      <c r="A72" s="2">
        <v>2020</v>
      </c>
      <c r="B72" s="2">
        <v>4</v>
      </c>
      <c r="C72" s="2" t="s">
        <v>5</v>
      </c>
      <c r="D72" s="2">
        <v>81</v>
      </c>
      <c r="E72" s="2">
        <v>78</v>
      </c>
      <c r="G72" s="3">
        <f t="shared" si="3"/>
        <v>43922</v>
      </c>
      <c r="H72" s="2" t="str">
        <f>VLOOKUP(C72,Sheet2!A:B,2,FALSE)</f>
        <v>Male</v>
      </c>
      <c r="I72" s="2">
        <f t="shared" si="4"/>
        <v>78</v>
      </c>
      <c r="J72" s="2" t="s">
        <v>15</v>
      </c>
      <c r="L72" s="2">
        <f t="shared" si="5"/>
        <v>81</v>
      </c>
      <c r="M72" s="2" t="s">
        <v>16</v>
      </c>
    </row>
    <row r="73" spans="1:13" x14ac:dyDescent="0.35">
      <c r="A73" s="2">
        <v>2020</v>
      </c>
      <c r="B73" s="2">
        <v>4</v>
      </c>
      <c r="C73" s="2" t="s">
        <v>6</v>
      </c>
      <c r="D73" s="2">
        <v>85</v>
      </c>
      <c r="E73" s="2">
        <v>82</v>
      </c>
      <c r="G73" s="3">
        <f t="shared" si="3"/>
        <v>43922</v>
      </c>
      <c r="H73" s="2" t="str">
        <f>VLOOKUP(C73,Sheet2!A:B,2,FALSE)</f>
        <v>Female</v>
      </c>
      <c r="I73" s="2">
        <f t="shared" si="4"/>
        <v>82</v>
      </c>
      <c r="J73" s="2" t="s">
        <v>15</v>
      </c>
      <c r="L73" s="2">
        <f t="shared" si="5"/>
        <v>85</v>
      </c>
      <c r="M73" s="2" t="s">
        <v>16</v>
      </c>
    </row>
    <row r="74" spans="1:13" x14ac:dyDescent="0.35">
      <c r="A74" s="2">
        <v>2020</v>
      </c>
      <c r="B74" s="2">
        <v>3</v>
      </c>
      <c r="C74" s="2" t="s">
        <v>4</v>
      </c>
      <c r="D74" s="2">
        <v>84</v>
      </c>
      <c r="E74" s="2">
        <v>78</v>
      </c>
      <c r="G74" s="3">
        <f t="shared" si="3"/>
        <v>43891</v>
      </c>
      <c r="H74" s="2" t="str">
        <f>VLOOKUP(C74,Sheet2!A:B,2,FALSE)</f>
        <v>All</v>
      </c>
      <c r="I74" s="2">
        <f t="shared" si="4"/>
        <v>78</v>
      </c>
      <c r="J74" s="2" t="s">
        <v>15</v>
      </c>
      <c r="L74" s="2">
        <f t="shared" si="5"/>
        <v>84</v>
      </c>
      <c r="M74" s="2" t="s">
        <v>16</v>
      </c>
    </row>
    <row r="75" spans="1:13" x14ac:dyDescent="0.35">
      <c r="A75" s="2">
        <v>2020</v>
      </c>
      <c r="B75" s="2">
        <v>3</v>
      </c>
      <c r="C75" s="2" t="s">
        <v>5</v>
      </c>
      <c r="D75" s="2">
        <v>82</v>
      </c>
      <c r="E75" s="2">
        <v>78</v>
      </c>
      <c r="G75" s="3">
        <f t="shared" si="3"/>
        <v>43891</v>
      </c>
      <c r="H75" s="2" t="str">
        <f>VLOOKUP(C75,Sheet2!A:B,2,FALSE)</f>
        <v>Male</v>
      </c>
      <c r="I75" s="2">
        <f t="shared" si="4"/>
        <v>78</v>
      </c>
      <c r="J75" s="2" t="s">
        <v>15</v>
      </c>
      <c r="L75" s="2">
        <f t="shared" si="5"/>
        <v>82</v>
      </c>
      <c r="M75" s="2" t="s">
        <v>16</v>
      </c>
    </row>
    <row r="76" spans="1:13" x14ac:dyDescent="0.35">
      <c r="A76" s="2">
        <v>2020</v>
      </c>
      <c r="B76" s="2">
        <v>3</v>
      </c>
      <c r="C76" s="2" t="s">
        <v>6</v>
      </c>
      <c r="D76" s="2">
        <v>85</v>
      </c>
      <c r="E76" s="2">
        <v>79</v>
      </c>
      <c r="G76" s="3">
        <f t="shared" si="3"/>
        <v>43891</v>
      </c>
      <c r="H76" s="2" t="str">
        <f>VLOOKUP(C76,Sheet2!A:B,2,FALSE)</f>
        <v>Female</v>
      </c>
      <c r="I76" s="2">
        <f t="shared" si="4"/>
        <v>79</v>
      </c>
      <c r="J76" s="2" t="s">
        <v>15</v>
      </c>
      <c r="L76" s="2">
        <f t="shared" si="5"/>
        <v>85</v>
      </c>
      <c r="M76" s="2" t="s">
        <v>16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2907D-8A61-4F29-B868-687AED30BDA1}">
  <dimension ref="A1:B3"/>
  <sheetViews>
    <sheetView workbookViewId="0">
      <selection activeCell="B1" sqref="B1:B3"/>
    </sheetView>
  </sheetViews>
  <sheetFormatPr defaultRowHeight="15.5" x14ac:dyDescent="0.35"/>
  <sheetData>
    <row r="1" spans="1:2" x14ac:dyDescent="0.35">
      <c r="A1" s="2" t="s">
        <v>4</v>
      </c>
      <c r="B1" s="2" t="s">
        <v>9</v>
      </c>
    </row>
    <row r="2" spans="1:2" x14ac:dyDescent="0.35">
      <c r="A2" s="2" t="s">
        <v>5</v>
      </c>
      <c r="B2" s="2" t="s">
        <v>10</v>
      </c>
    </row>
    <row r="3" spans="1:2" x14ac:dyDescent="0.35">
      <c r="A3" s="2" t="s">
        <v>6</v>
      </c>
      <c r="B3" s="2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283A44878F964283EB1BA9DAF70F76" ma:contentTypeVersion="8" ma:contentTypeDescription="Create a new document." ma:contentTypeScope="" ma:versionID="535d2302216fa081feff6a35a6ad6abb">
  <xsd:schema xmlns:xsd="http://www.w3.org/2001/XMLSchema" xmlns:xs="http://www.w3.org/2001/XMLSchema" xmlns:p="http://schemas.microsoft.com/office/2006/metadata/properties" xmlns:ns2="7f0e4800-755e-4882-99aa-9f93f3bfab78" targetNamespace="http://schemas.microsoft.com/office/2006/metadata/properties" ma:root="true" ma:fieldsID="adb3e56e9303df65cfa9d405625c42d4" ns2:_="">
    <xsd:import namespace="7f0e4800-755e-4882-99aa-9f93f3bfab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e4800-755e-4882-99aa-9f93f3bfab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A46A4-862F-45B9-AC97-1A19AC069CBF}">
  <ds:schemaRefs>
    <ds:schemaRef ds:uri="http://schemas.microsoft.com/office/2006/metadata/properties"/>
    <ds:schemaRef ds:uri="7f0e4800-755e-4882-99aa-9f93f3bfab78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50D7889-3B2B-4C73-9BF9-9E54D5E77F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3FDF00-52B9-4C2E-B98F-D3677F344B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0e4800-755e-4882-99aa-9f93f3bfab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Rushton, Rachel</dc:creator>
  <cp:lastModifiedBy>Vickery, Erin</cp:lastModifiedBy>
  <dcterms:created xsi:type="dcterms:W3CDTF">2022-05-19T13:12:23Z</dcterms:created>
  <dcterms:modified xsi:type="dcterms:W3CDTF">2022-05-20T09:09:13Z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0x010100DB283A44878F964283EB1BA9DAF70F76</vt:lpwstr>
  </property>
</Properties>
</file>